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iKIrerbWcXl1MTYDhqzrMPp4XbYznr9F7et7HSMWsw0="/>
    </ext>
  </extLst>
</workbook>
</file>

<file path=xl/sharedStrings.xml><?xml version="1.0" encoding="utf-8"?>
<sst xmlns="http://schemas.openxmlformats.org/spreadsheetml/2006/main" count="1506" uniqueCount="524">
  <si>
    <t>Tipos de Datos - Tabla Comparativa</t>
  </si>
  <si>
    <t>DIAGRAMA ER CORREGIDO</t>
  </si>
  <si>
    <t>Tablas resultantes del Diccionario Genérico (Modelo Lógico)</t>
  </si>
  <si>
    <t>#</t>
  </si>
  <si>
    <t>Tabla</t>
  </si>
  <si>
    <t>Tipo de Dato Genérico</t>
  </si>
  <si>
    <t>Descripción Tabla</t>
  </si>
  <si>
    <t>Observaciones</t>
  </si>
  <si>
    <t>Tipos de Dato - PosgreSQL</t>
  </si>
  <si>
    <t>Dominio</t>
  </si>
  <si>
    <t>Tamaño
BYTES</t>
  </si>
  <si>
    <t>rol</t>
  </si>
  <si>
    <t>AUTOINCREMENTABLE</t>
  </si>
  <si>
    <t>Catálogo de niveles de permiso con que un usuario opera en la Red (administrador, auxiliar, miembro, visitante).</t>
  </si>
  <si>
    <t>Entidad. Catálogo independiente. Se elimina el FK a usuario para evitar referencia circular.</t>
  </si>
  <si>
    <t>tipo_usuario</t>
  </si>
  <si>
    <t>SMALLINT / INTEGER / BIGINT GENERATED ALWAYS AS IDENTITY</t>
  </si>
  <si>
    <t>Catálogo del vínculo del usuario con la Institución (estudiante, docente, egresado, empleado, empresario).</t>
  </si>
  <si>
    <t>Entidad. Catálogo independiente. Se elimina id_usuario_registra (referencia circular con usuario).</t>
  </si>
  <si>
    <t>Enteros 1 .. 32.767 / 2.147.483.647 / 9,2x10^18</t>
  </si>
  <si>
    <t>usuario</t>
  </si>
  <si>
    <t>Persona registrada en la Red Social Pascualina; eje de toda la actividad de la plataforma.</t>
  </si>
  <si>
    <t>Entidad. Absorbe las relaciones N:1 'tiene rol' y 'tiene tipo' como FK. Se eliminan usuario_tiene_rol y usuario_tiene_tipo.</t>
  </si>
  <si>
    <t>2 / 4 / 8</t>
  </si>
  <si>
    <t>Estándar SQL. Reemplaza SERIAL. Usado en todas las 
PK sustitutas 
(id_usuario INTEGER, id_publicacion BIGINT).</t>
  </si>
  <si>
    <t>cuenta</t>
  </si>
  <si>
    <t>Credenciales y estado de acceso del usuario, separadas de sus datos personales.</t>
  </si>
  <si>
    <t>UUID</t>
  </si>
  <si>
    <t>Entidad débil (1:1). PK = FK a usuario. Se elimina usuario_tiene_cuenta (duplicaba la relación 1:1).</t>
  </si>
  <si>
    <t>128 bits, ej. a0eebc99-9c0b-4ef8-bb6d-6bb9bd380a11</t>
  </si>
  <si>
    <t>Valor por defecto gen_random_uuid(). 
Usado en usuario.uuid_usuario como identificador público</t>
  </si>
  <si>
    <t>grupo</t>
  </si>
  <si>
    <t>Comunidad de usuarios reunida por un interés común: grupos de estudio, semilleros, hackatones, clubes.</t>
  </si>
  <si>
    <t>Entidad. Se agregan es_privado y estado_grupo del modelo conceptual.</t>
  </si>
  <si>
    <t>ENTERO</t>
  </si>
  <si>
    <t>SMALLINT / INTEGER / BIGINT</t>
  </si>
  <si>
    <t>-32.768..32.767 / ±2.147 millones / ±9,2x10^18</t>
  </si>
  <si>
    <t>perfil</t>
  </si>
  <si>
    <t>Información pública e intereses de un usuario o de un grupo; incluye atributos semiestructurados JSONB.</t>
  </si>
  <si>
    <t>SMALLINT para catálogos y puntuación; INTEGER para 
cantidades y cupos; BIGINT para tablas de alto volumen.</t>
  </si>
  <si>
    <t>Entidad. Absorbe cuenta_tiene_perfil y grupo_define_perfil. CHECK de exclusividad usuario/grupo.</t>
  </si>
  <si>
    <t>DECIMAL</t>
  </si>
  <si>
    <t>grupo_usuario</t>
  </si>
  <si>
    <t>NUMERIC(p,s)</t>
  </si>
  <si>
    <t>Membresía de usuarios en grupos (N:M), con estado de solicitud y rol dentro del grupo.</t>
  </si>
  <si>
    <t>Hasta 131.072 dígitos antes del punto; exacto</t>
  </si>
  <si>
    <t>Relación N:M. Absorbe usuario_solicita_grupo y usuario_administra_grupo (estado_membresia y rol_en_grupo).</t>
  </si>
  <si>
    <t>Variable (≈ 2 por 
cada 4 dígitos + 3-8)</t>
  </si>
  <si>
    <t>NUMERIC(12,2) para precios y valores en pesos: exacto, 
sin errores de redondeo de REAL/DOUBLE.</t>
  </si>
  <si>
    <t>usuario_sigue_usuario</t>
  </si>
  <si>
    <t>Relación recursiva de seguimiento entre usuarios (seguidor -&gt; seguido).</t>
  </si>
  <si>
    <t>Relación N:M recursiva. Nueva exigencia de la EA3: conectar y seguir compañeros.</t>
  </si>
  <si>
    <t>publicacion</t>
  </si>
  <si>
    <t>Contenido que un usuario comparte en la Red, opcionalmente dentro de un grupo.</t>
  </si>
  <si>
    <t>Entidad. Absorbe usuario_realiza_publicacion (era la misma tabla duplicada).</t>
  </si>
  <si>
    <t>comentario</t>
  </si>
  <si>
    <t>Respuesta que un usuario escribe sobre una publicación; el autor puede ser distinto al de la publicación.</t>
  </si>
  <si>
    <t>LÓGICO</t>
  </si>
  <si>
    <t>Entidad. Absorbe publicacion_tiene_comentario y usuario_comenta.</t>
  </si>
  <si>
    <t>BOOLEAN</t>
  </si>
  <si>
    <t>TRUE / FALSE / NULL</t>
  </si>
  <si>
    <t>reaccion</t>
  </si>
  <si>
    <t>Banderas: es_privado, fue_leido, asistio, estado_rol.</t>
  </si>
  <si>
    <t>Reacción breve (me gusta, me encanta...) de un usuario a una publicación; una sola por usuario y publicación.</t>
  </si>
  <si>
    <t>Entidad débil. PK compuesta (id_publicacion, id_usuario). Absorbe publicacion_tiene_reaccion y usuario_reacciona.</t>
  </si>
  <si>
    <t>TEXTO</t>
  </si>
  <si>
    <t>TEXT / VARCHAR(n)</t>
  </si>
  <si>
    <t>Cadena de longitud variable (hasta 1 GB)</t>
  </si>
  <si>
    <t>Variable (n + 1 a 4)</t>
  </si>
  <si>
    <t>TEXT para contenido largo sin tope 
(publicaciones, mensajes); 
VARCHAR(n) cuando el negocio fija un máximo.</t>
  </si>
  <si>
    <t>mensaje</t>
  </si>
  <si>
    <t>CARACTER</t>
  </si>
  <si>
    <t>CHAR(n) / VARCHAR(n)</t>
  </si>
  <si>
    <t>Mensaje privado enviado por un usuario a otro dentro de la plataforma.</t>
  </si>
  <si>
    <t>Cadena de longitud fija (CHAR) o limitada (VARCHAR)</t>
  </si>
  <si>
    <t>Entidad. Absorbe usuario_envia_mensaje 
y usuario_recibe_mensaje.</t>
  </si>
  <si>
    <t>n + 1</t>
  </si>
  <si>
    <t>Se prefiere VARCHAR(n) para códigos y estados cortos: 
CHAR rellena con espacios.</t>
  </si>
  <si>
    <t>notificacion</t>
  </si>
  <si>
    <t>Aviso generado por el sistema y dirigido a un usuario sobre la actividad que le concierne.</t>
  </si>
  <si>
    <t>FECHA</t>
  </si>
  <si>
    <t>Entidad. Absorbe usuario_recibe_notificacion.</t>
  </si>
  <si>
    <t>DATE</t>
  </si>
  <si>
    <t>4713 a.C. .. 5874897 d.C., resolución 1 día</t>
  </si>
  <si>
    <t>tipo_servicio</t>
  </si>
  <si>
    <t>fecha_nacimiento, fecha_creacion del grupo.</t>
  </si>
  <si>
    <t>Catálogo de categorías de servicio definido por la administración (asesoría, tutoría, reparación de PC...).</t>
  </si>
  <si>
    <t>Entidad. Absorbe usuario_registra_tipo_servicio como 
FK id_usuario_registra.</t>
  </si>
  <si>
    <t>FECHA_HORA</t>
  </si>
  <si>
    <t>TIMESTAMP</t>
  </si>
  <si>
    <t>servicio</t>
  </si>
  <si>
    <t>4713 a.C. .. 294276 d.C., resolución 1 µs</t>
  </si>
  <si>
    <t>Servicio concreto que un usuario ofrece a la comunidad, con precio, duración y ubicación.</t>
  </si>
  <si>
    <t>Entidad. Absorbe usuario_ofrece_servicio y 
tipo_servicio_tiene_servicio como FK.</t>
  </si>
  <si>
    <t>Trazabilidad: fecha_publicacion, 
fecha_compra, fecha_envio. 
DEFAULT CURRENT_TIMESTAMP.</t>
  </si>
  <si>
    <t>solicitud_servicio</t>
  </si>
  <si>
    <t>Traza de cada contratación de un servicio por parte de otro usuario, con estado y valor acordado.</t>
  </si>
  <si>
    <t>IMAGEN</t>
  </si>
  <si>
    <t>VARCHAR(255) (URL) / BYTEA</t>
  </si>
  <si>
    <t>Relación N:M con atributos (entidad asociativa). 
Implementa la relación 'solicita' y la traza de 
ventas de servicios exigida por la EA3.</t>
  </si>
  <si>
    <t>Ruta o enlace a la imagen / binario</t>
  </si>
  <si>
    <t>Variable</t>
  </si>
  <si>
    <t>Se guarda la URL (url_fotografia, url_multimedia) y el 
archivo en almacenamiento externo; 
BYTEA engorda la BD.</t>
  </si>
  <si>
    <t>calificacion</t>
  </si>
  <si>
    <t>Valoración (1 a 5) y reseña que deja quien contrató un servicio, una por solicitud.</t>
  </si>
  <si>
    <t>Entidad débil. Se liga a la solicitud para que solo 
califique quien contrató. 
Absorbe servicio_recibe_calificacion y usuario_califica.</t>
  </si>
  <si>
    <t>AUDIO</t>
  </si>
  <si>
    <t>Ruta o enlace al audio / binario</t>
  </si>
  <si>
    <t>tipo_producto</t>
  </si>
  <si>
    <t>Catálogo de categorías de producto definido por la administración (papelería, libros, ropa, tickets...).</t>
  </si>
  <si>
    <t>Entidad. Absorbe usuario_registra_tipo_producto como 
FK id_usuario_registra.</t>
  </si>
  <si>
    <t>Mismo criterio que IMAGEN 
(no usado en el modelo actual).</t>
  </si>
  <si>
    <t>producto</t>
  </si>
  <si>
    <t>Artículo que un usuario publica para la venta, con precio, existencias y condición.</t>
  </si>
  <si>
    <t>URL</t>
  </si>
  <si>
    <t>Entidad. Absorbe usuario_vende_producto y 
tipo_producto_tiene_producto como FK.</t>
  </si>
  <si>
    <t>VARCHAR(255)</t>
  </si>
  <si>
    <t>compra_producto</t>
  </si>
  <si>
    <t>Cadena hasta 255 caracteres</t>
  </si>
  <si>
    <t>Traza de cada venta de un producto: comprador, cantidad, precio unitario y total.</t>
  </si>
  <si>
    <t>Hasta 256</t>
  </si>
  <si>
    <t>url_multimedia, url_fotografia.</t>
  </si>
  <si>
    <t>Relación N:M con atributos (entidad asociativa). 
Implementa la relación 'compra' y la traza de ventas de 
productos exigida por la EA3.</t>
  </si>
  <si>
    <t>tipo_evento</t>
  </si>
  <si>
    <t>ENUM</t>
  </si>
  <si>
    <t>Catálogo de categorías de evento definido por la administración (congreso, taller, feria, concierto...).</t>
  </si>
  <si>
    <t>VARCHAR(n) + CHECK (campo IN (...))</t>
  </si>
  <si>
    <t>Entidad. Absorbe usuario_registra_tipo_evento como 
FK id_usuario_registra.</t>
  </si>
  <si>
    <t>Conjunto cerrado de valores</t>
  </si>
  <si>
    <t>Se usa CHECK en lugar de CREATE TYPE ... AS ENUM 
porque agregar valores es más simple con ALTER TABLE</t>
  </si>
  <si>
    <t>evento</t>
  </si>
  <si>
    <t>Actividad académica o social organizada por un usuario, con fechas, lugar, cupo y valor de entrada.</t>
  </si>
  <si>
    <t>Entidad. Absorbe usuario_organiza_evento y 
tipo_evento_tiene_evento como FK.</t>
  </si>
  <si>
    <t>TEXTO_CORTO (opcional)</t>
  </si>
  <si>
    <t>VARCHAR(n)</t>
  </si>
  <si>
    <t>Cadena de hasta n caracteres</t>
  </si>
  <si>
    <t>participacion_evento</t>
  </si>
  <si>
    <t>Inscripción de usuarios a eventos: traza de pago, asistencia, me gusta y comentario posterior.</t>
  </si>
  <si>
    <t>Nombres, títulos y asuntos: nombre_grupo VARCHAR(80)
asunto_mensaje VARCHAR(150)</t>
  </si>
  <si>
    <t>Relación N:M con atributos. Implementa la relación 
'participa' y la traza de ventas de eventos.</t>
  </si>
  <si>
    <t>BINARIO (opcional)</t>
  </si>
  <si>
    <t>BYTEA</t>
  </si>
  <si>
    <t>Secuencia de bytes</t>
  </si>
  <si>
    <t>Variable (hasta 1 GB)</t>
  </si>
  <si>
    <t>No se usa: los archivos se referencian por URL.</t>
  </si>
  <si>
    <t>JSON</t>
  </si>
  <si>
    <t>JSONB</t>
  </si>
  <si>
    <t>Documento JSON almacenado en binario</t>
  </si>
  <si>
    <t>perfil.atributos_perfil (intereses, habilidades, deportes)
JSONB permite índices GIN y consultas por clave.</t>
  </si>
  <si>
    <t>DICCIONARIO DE DATOS FÍSICO (PostgreSQL)</t>
  </si>
  <si>
    <t>Inventario de Tablas</t>
  </si>
  <si>
    <t>Entidad</t>
  </si>
  <si>
    <t>Entidad débil (1:1)</t>
  </si>
  <si>
    <t>Relación N:M</t>
  </si>
  <si>
    <t>Relación N:M recursiva</t>
  </si>
  <si>
    <t>Entidad débil</t>
  </si>
  <si>
    <t>Relación N:M con atributos (entidad asociativa)</t>
  </si>
  <si>
    <t>Relación N:M con atributos</t>
  </si>
  <si>
    <t>Tablas en Detalle</t>
  </si>
  <si>
    <t>Versión</t>
  </si>
  <si>
    <t>3.0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</si>
  <si>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</si>
  <si>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</si>
  <si>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</si>
  <si>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</si>
  <si>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</si>
  <si>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</si>
  <si>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</si>
  <si>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</si>
  <si>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</si>
  <si>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id_rol</t>
  </si>
  <si>
    <t>Identificador único del rol</t>
  </si>
  <si>
    <t>SMALLINT</t>
  </si>
  <si>
    <t>2 bytes</t>
  </si>
  <si>
    <t>No</t>
  </si>
  <si>
    <t>S</t>
  </si>
  <si>
    <t>GENERATED ALWAYS AS IDENTITY</t>
  </si>
  <si>
    <t>nombre_rol</t>
  </si>
  <si>
    <t>Nombre del rol: administrador, auxiliar, miembro, visitante</t>
  </si>
  <si>
    <t>VARCHAR</t>
  </si>
  <si>
    <t>30</t>
  </si>
  <si>
    <t>descripcion_rol</t>
  </si>
  <si>
    <t>Alcance de los permisos que otorga el rol</t>
  </si>
  <si>
    <t>255</t>
  </si>
  <si>
    <t>Sí</t>
  </si>
  <si>
    <t>estado_rol</t>
  </si>
  <si>
    <t>Indica si el rol puede asignarse (TRUE = vigente)</t>
  </si>
  <si>
    <t>1 byte</t>
  </si>
  <si>
    <t>DEFAULT true</t>
  </si>
  <si>
    <t>id_tipo_usuario</t>
  </si>
  <si>
    <t>Identificador único del tipo de usuario</t>
  </si>
  <si>
    <t>nombre_tipo_usuario</t>
  </si>
  <si>
    <t>Nombre del tipo: estudiante, docente, egresado...</t>
  </si>
  <si>
    <t>40</t>
  </si>
  <si>
    <t>descripcion_tipo_usuario</t>
  </si>
  <si>
    <t>Aclaración del alcance del tipo de usuario</t>
  </si>
  <si>
    <t>estado_tipo_usuario</t>
  </si>
  <si>
    <t>Indica si el tipo está vigente para nuevas asignaciones</t>
  </si>
  <si>
    <t>id_usuario</t>
  </si>
  <si>
    <t>Identificador interno del usuario</t>
  </si>
  <si>
    <t>INTEGER</t>
  </si>
  <si>
    <t>4 bytes</t>
  </si>
  <si>
    <t>uuid_usuario</t>
  </si>
  <si>
    <t>Identificador público no secuencial (para URLs y API)</t>
  </si>
  <si>
    <t>16 bytes</t>
  </si>
  <si>
    <t>DEFAULT gen_random_uuid()</t>
  </si>
  <si>
    <t>Tipo de usuario (vínculo con la Institución)</t>
  </si>
  <si>
    <t>Ref. tipo_usuario(id_tipo_usuario) ON DELETE RESTRICT ON UPDATE CASCADE</t>
  </si>
  <si>
    <t>Rol de permisos en la Red</t>
  </si>
  <si>
    <t>Ref. rol(id_rol) ON DELETE RESTRICT ON UPDATE CASCADE</t>
  </si>
  <si>
    <t>numero_documento</t>
  </si>
  <si>
    <t>Documento de identidad</t>
  </si>
  <si>
    <t>20</t>
  </si>
  <si>
    <t>nombres_usuario</t>
  </si>
  <si>
    <t>Nombres de la persona</t>
  </si>
  <si>
    <t>60</t>
  </si>
  <si>
    <t>apellidos_usuario</t>
  </si>
  <si>
    <t>Apellidos de la persona</t>
  </si>
  <si>
    <t>correo_electronico</t>
  </si>
  <si>
    <t>Correo de contacto, no repetible</t>
  </si>
  <si>
    <t>120</t>
  </si>
  <si>
    <t>CHECK (correo_electronico)~~ '%_@_%._%')</t>
  </si>
  <si>
    <t>telefono_usuario</t>
  </si>
  <si>
    <t>Teléfono de contacto</t>
  </si>
  <si>
    <t>15</t>
  </si>
  <si>
    <t>fecha_nacimiento</t>
  </si>
  <si>
    <t>Fecha de nacimiento (análisis demográfico)</t>
  </si>
  <si>
    <t>CHECK (fecha_nacimiento &lt; CURRENT_DATE)</t>
  </si>
  <si>
    <t>fecha_registro</t>
  </si>
  <si>
    <t>Fecha y hora de registro en la Red</t>
  </si>
  <si>
    <t>8 bytes</t>
  </si>
  <si>
    <t>DEFAULT CURRENT_TIMESTAMP</t>
  </si>
  <si>
    <t>estado_usuario</t>
  </si>
  <si>
    <t>Estado: activo, inactivo o suspendido</t>
  </si>
  <si>
    <t>12</t>
  </si>
  <si>
    <t>DEFAULT 'activo'; CHECK (estado_usuario)IN ('activo', 'inactivo', 'suspendido')</t>
  </si>
  <si>
    <t>Usuario dueño de la cuenta (PK y FK, relación 1:1)</t>
  </si>
  <si>
    <t>Ref. usuario(id_usuario) ON DELETE CASCADE ON UPDATE CASCADE</t>
  </si>
  <si>
    <t>nombre_cuenta</t>
  </si>
  <si>
    <t>Nombre de usuario para iniciar sesión</t>
  </si>
  <si>
    <t>clave_cifrada</t>
  </si>
  <si>
    <t>Hash de la contraseña (nunca texto plano)</t>
  </si>
  <si>
    <t>estado_cuenta</t>
  </si>
  <si>
    <t>Estado: activa, bloqueada o pendiente</t>
  </si>
  <si>
    <t>DEFAULT 'pendiente'; CHECK (estado_cuenta)IN ('activa', 'bloqueada', 'pendiente')</t>
  </si>
  <si>
    <t>fecha_ultimo_acceso</t>
  </si>
  <si>
    <t>Fecha y hora del último ingreso exitoso</t>
  </si>
  <si>
    <t>intentos_fallidos</t>
  </si>
  <si>
    <t>Intentos fallidos consecutivos de acceso</t>
  </si>
  <si>
    <t>DEFAULT 0; CHECK (intentos_fallidos &gt;= 0)</t>
  </si>
  <si>
    <t>id_grupo</t>
  </si>
  <si>
    <t>Identificador único del grupo</t>
  </si>
  <si>
    <t>nombre_grupo</t>
  </si>
  <si>
    <t>Nombre del grupo, no repetible</t>
  </si>
  <si>
    <t>80</t>
  </si>
  <si>
    <t>descripcion_grupo</t>
  </si>
  <si>
    <t>Propósito e intereses del grupo</t>
  </si>
  <si>
    <t>500</t>
  </si>
  <si>
    <t>fecha_creacion</t>
  </si>
  <si>
    <t>Fecha de creación del grupo</t>
  </si>
  <si>
    <t>DEFAULT CURRENT_DATE</t>
  </si>
  <si>
    <t>es_privado</t>
  </si>
  <si>
    <t>TRUE si el ingreso requiere aprobación</t>
  </si>
  <si>
    <t>DEFAULT false</t>
  </si>
  <si>
    <t>estado_grupo</t>
  </si>
  <si>
    <t>Estado: activo, inactivo o cerrado</t>
  </si>
  <si>
    <t>10</t>
  </si>
  <si>
    <t>DEFAULT 'activo'; CHECK (estado_grupo)IN ('activo', 'inactivo', 'cerrado')</t>
  </si>
  <si>
    <t>id_perfil</t>
  </si>
  <si>
    <t>Identificador único del perfil</t>
  </si>
  <si>
    <t>Usuario dueño del perfil (vacío si es de grupo)</t>
  </si>
  <si>
    <t>Ref. usuario(id_usuario) ON DELETE CASCADE ON UPDATE CASCADE; CHECK (id_usuario IS NOT NULL) AND (id_grupo IS NULL) OR (id_usuario IS NULL) AND (id_grupo IS NOT NULL)</t>
  </si>
  <si>
    <t>Grupo dueño del perfil (vacío si es de usuario)</t>
  </si>
  <si>
    <t>Ref. grupo(id_grupo) ON DELETE CASCADE ON UPDATE CASCADE; CHECK (id_usuario IS NOT NULL) AND (id_grupo IS NULL) OR (id_usuario IS NULL) AND (id_grupo IS NOT NULL)</t>
  </si>
  <si>
    <t>titular_perfil</t>
  </si>
  <si>
    <t>Título visible del perfil</t>
  </si>
  <si>
    <t>100</t>
  </si>
  <si>
    <t>area_estudio</t>
  </si>
  <si>
    <t>Área de estudio o disciplina principal</t>
  </si>
  <si>
    <t>descripcion_perfil</t>
  </si>
  <si>
    <t>Presentación breve del titular</t>
  </si>
  <si>
    <t>atributos_perfil</t>
  </si>
  <si>
    <t>Intereses, habilidades, deportes, libros (JSONB)</t>
  </si>
  <si>
    <t>url_fotografia</t>
  </si>
  <si>
    <t>Enlace a la foto de perfil</t>
  </si>
  <si>
    <t>fecha_actualizacion</t>
  </si>
  <si>
    <t>Fecha y hora de la última modificación</t>
  </si>
  <si>
    <t>Grupo al que pertenece (parte de la PK)</t>
  </si>
  <si>
    <t>Ref. grupo(id_grupo) ON DELETE CASCADE ON UPDATE CASCADE</t>
  </si>
  <si>
    <t>Usuario miembro (parte de la PK)</t>
  </si>
  <si>
    <t>fecha_ingreso</t>
  </si>
  <si>
    <t>Fecha y hora de solicitud/ingreso</t>
  </si>
  <si>
    <t>estado_membresia</t>
  </si>
  <si>
    <t>Estado: pendiente, activa, rechazada, retirada</t>
  </si>
  <si>
    <t>DEFAULT 'pendiente'; CHECK (estado_membresia)IN ('pendiente', 'activa', 'rechazada', 'retirada')</t>
  </si>
  <si>
    <t>rol_en_grupo</t>
  </si>
  <si>
    <t>Rol interno: administrador, moderador, miembro</t>
  </si>
  <si>
    <t>DEFAULT 'miembro'; CHECK (rol_en_grupo)IN ('administrador', 'moderador', 'miembro')</t>
  </si>
  <si>
    <t>id_usuario_seguidor</t>
  </si>
  <si>
    <t>Usuario que sigue (parte de la PK)</t>
  </si>
  <si>
    <t>Ref. usuario(id_usuario) ON DELETE CASCADE ON UPDATE CASCADE; CHECK (id_usuario_seguidor &lt;&gt; id_usuario_seguido)</t>
  </si>
  <si>
    <t>id_usuario_seguido</t>
  </si>
  <si>
    <t>Usuario seguido (parte de la PK)</t>
  </si>
  <si>
    <t>fecha_seguimiento</t>
  </si>
  <si>
    <t>Fecha y hora en que empezó a seguir</t>
  </si>
  <si>
    <t>id_publicacion</t>
  </si>
  <si>
    <t>Identificador único de la publicación</t>
  </si>
  <si>
    <t>BIGINT</t>
  </si>
  <si>
    <t>Usuario autor</t>
  </si>
  <si>
    <t>Ref. usuario(id_usuario) ON DELETE RESTRICT ON UPDATE CASCADE</t>
  </si>
  <si>
    <t>Grupo donde se publica (vacío = muro general)</t>
  </si>
  <si>
    <t>Ref. grupo(id_grupo) ON DELETE SET NULL ON UPDATE CASCADE</t>
  </si>
  <si>
    <t>titulo_publicacion</t>
  </si>
  <si>
    <t>Encabezado corto</t>
  </si>
  <si>
    <t>150</t>
  </si>
  <si>
    <t>contenido_publicacion</t>
  </si>
  <si>
    <t>Texto completo de la publicación</t>
  </si>
  <si>
    <t>TEXT</t>
  </si>
  <si>
    <t>url_multimedia</t>
  </si>
  <si>
    <t>Enlace al archivo adjunto (imagen o video)</t>
  </si>
  <si>
    <t>fecha_publicacion</t>
  </si>
  <si>
    <t>Fecha y hora de publicación</t>
  </si>
  <si>
    <t>estado_publicacion</t>
  </si>
  <si>
    <t>Estado: visible, oculto, eliminado</t>
  </si>
  <si>
    <t>DEFAULT 'visible'; CHECK (estado_publicacion)IN ('visible', 'oculto', 'eliminado')</t>
  </si>
  <si>
    <t>id_comentario</t>
  </si>
  <si>
    <t>Identificador único del comentario</t>
  </si>
  <si>
    <t>Publicación comentada</t>
  </si>
  <si>
    <t>Ref. publicacion(id_publicacion) ON DELETE CASCADE ON UPDATE CASCADE</t>
  </si>
  <si>
    <t>Usuario que comenta</t>
  </si>
  <si>
    <t>texto_comentario</t>
  </si>
  <si>
    <t>Texto del comentario</t>
  </si>
  <si>
    <t>1000</t>
  </si>
  <si>
    <t>fecha_comentario</t>
  </si>
  <si>
    <t>Fecha y hora del comentario</t>
  </si>
  <si>
    <t>estado_comentario</t>
  </si>
  <si>
    <t>DEFAULT 'visible'; CHECK (estado_comentario)IN ('visible', 'oculto', 'eliminado')</t>
  </si>
  <si>
    <t>Publicación reaccionada (parte de la PK)</t>
  </si>
  <si>
    <t>Usuario que reacciona (parte de la PK)</t>
  </si>
  <si>
    <t>tipo_reaccion</t>
  </si>
  <si>
    <t>Tipo: me_gusta, me_encanta, me_divierte, me_sorprende</t>
  </si>
  <si>
    <t>DEFAULT 'me_gusta'; CHECK (tipo_reaccion)IN ('me_gusta', 'me_encanta', 'me_divierte', 'me_sorprende')</t>
  </si>
  <si>
    <t>fecha_reaccion</t>
  </si>
  <si>
    <t>Fecha y hora de la reacción</t>
  </si>
  <si>
    <t>id_mensaje</t>
  </si>
  <si>
    <t>Identificador único del mensaje</t>
  </si>
  <si>
    <t>id_usuario_remitente</t>
  </si>
  <si>
    <t>Usuario que envía</t>
  </si>
  <si>
    <t>Ref. usuario(id_usuario) ON DELETE RESTRICT ON UPDATE CASCADE; CHECK (id_usuario_remitente &lt;&gt; id_usuario_destinatario)</t>
  </si>
  <si>
    <t>id_usuario_destinatario</t>
  </si>
  <si>
    <t>Usuario que recibe</t>
  </si>
  <si>
    <t>asunto_mensaje</t>
  </si>
  <si>
    <t>Asunto breve</t>
  </si>
  <si>
    <t>cuerpo_mensaje</t>
  </si>
  <si>
    <t>Contenido del mensaje</t>
  </si>
  <si>
    <t>fecha_envio</t>
  </si>
  <si>
    <t>Fecha y hora de envío</t>
  </si>
  <si>
    <t>fue_leido</t>
  </si>
  <si>
    <t>TRUE si el destinatario ya lo leyó</t>
  </si>
  <si>
    <t>id_notificacion</t>
  </si>
  <si>
    <t>Identificador único de la notificación</t>
  </si>
  <si>
    <t>Usuario destinatario</t>
  </si>
  <si>
    <t>tipo_notificacion</t>
  </si>
  <si>
    <t>Origen: comentario, reaccion, mensaje, seguidor, grupo, evento, servicio, producto</t>
  </si>
  <si>
    <t>CHECK (tipo_notificacion)IN ('comentario', 'reaccion', 'mensaje', 'seguidor', 'grupo', 'evento', 'servicio', 'producto')</t>
  </si>
  <si>
    <t>referencia_origen</t>
  </si>
  <si>
    <t>Id del registro que originó el aviso</t>
  </si>
  <si>
    <t>texto_notificacion</t>
  </si>
  <si>
    <t>Texto que se muestra al usuario</t>
  </si>
  <si>
    <t>fecha_generacion</t>
  </si>
  <si>
    <t>Fecha y hora de generación</t>
  </si>
  <si>
    <t>fue_leida</t>
  </si>
  <si>
    <t>TRUE si ya fue consultada</t>
  </si>
  <si>
    <t>id_tipo_servicio</t>
  </si>
  <si>
    <t>Identificador del tipo de servicio</t>
  </si>
  <si>
    <t>id_usuario_registra</t>
  </si>
  <si>
    <t>Administrador/auxiliar que lo registró</t>
  </si>
  <si>
    <t>nombre_tipo_servicio</t>
  </si>
  <si>
    <t>Nombre de la categoría</t>
  </si>
  <si>
    <t>descripcion_tipo_servicio</t>
  </si>
  <si>
    <t>Aclaración del alcance</t>
  </si>
  <si>
    <t>estado_tipo_servicio</t>
  </si>
  <si>
    <t>TRUE si está vigente</t>
  </si>
  <si>
    <t>id_servicio</t>
  </si>
  <si>
    <t>Identificador del servicio</t>
  </si>
  <si>
    <t>Usuario que ofrece el servicio</t>
  </si>
  <si>
    <t>Categoría del servicio</t>
  </si>
  <si>
    <t>Ref. tipo_servicio(id_tipo_servicio) ON DELETE RESTRICT ON UPDATE CASCADE</t>
  </si>
  <si>
    <t>nombre_servicio</t>
  </si>
  <si>
    <t>Nombre comercial del servicio</t>
  </si>
  <si>
    <t>descripcion_servicio</t>
  </si>
  <si>
    <t>Detalle de lo que incluye</t>
  </si>
  <si>
    <t>precio_servicio</t>
  </si>
  <si>
    <t>Valor cobrado (pesos colombianos)</t>
  </si>
  <si>
    <t>NUMERIC</t>
  </si>
  <si>
    <t>12,2</t>
  </si>
  <si>
    <t>CHECK (precio_servicio &gt;= (0)</t>
  </si>
  <si>
    <t>duracion_minutos</t>
  </si>
  <si>
    <t>Duración estimada en minutos</t>
  </si>
  <si>
    <t>CHECK (duracion_minutos IS NULL) OR (duracion_minutos &gt; 0)</t>
  </si>
  <si>
    <t>ubicacion_servicio</t>
  </si>
  <si>
    <t>Lugar donde se presta</t>
  </si>
  <si>
    <t>esta_disponible</t>
  </si>
  <si>
    <t>TRUE si está activo para ser solicitado</t>
  </si>
  <si>
    <t>Fecha y hora de publicación de la oferta</t>
  </si>
  <si>
    <t>id_solicitud</t>
  </si>
  <si>
    <t>Identificador de la solicitud (traza)</t>
  </si>
  <si>
    <t>Servicio solicitado</t>
  </si>
  <si>
    <t>Ref. servicio(id_servicio) ON DELETE RESTRICT ON UPDATE CASCADE</t>
  </si>
  <si>
    <t>id_usuario_solicitante</t>
  </si>
  <si>
    <t>Usuario que contrata</t>
  </si>
  <si>
    <t>fecha_solicitud</t>
  </si>
  <si>
    <t>Fecha y hora de la solicitud</t>
  </si>
  <si>
    <t>estado_solicitud</t>
  </si>
  <si>
    <t>Estado: pendiente, aceptada, rechazada, finalizada, cancelada</t>
  </si>
  <si>
    <t>DEFAULT 'pendiente'; CHECK (estado_solicitud)IN ('pendiente', 'aceptada', 'rechazada', 'finalizada', 'cancelada')</t>
  </si>
  <si>
    <t>valor_acordado</t>
  </si>
  <si>
    <t>Valor acordado entre las partes</t>
  </si>
  <si>
    <t>CHECK (valor_acordado &gt;= (0)</t>
  </si>
  <si>
    <t>Solicitud calificada (PK y FK, 1 calificación por contratación)</t>
  </si>
  <si>
    <t>Ref. solicitud_servicio(id_solicitud) ON DELETE CASCADE ON UPDATE CASCADE</t>
  </si>
  <si>
    <t>puntuacion</t>
  </si>
  <si>
    <t>Puntuación de 1 a 5</t>
  </si>
  <si>
    <t>CHECK (puntuacion &gt;= 1) AND (puntuacion &lt;= 5)</t>
  </si>
  <si>
    <t>texto_calificacion</t>
  </si>
  <si>
    <t>Reseña escrita</t>
  </si>
  <si>
    <t>fecha_calificacion</t>
  </si>
  <si>
    <t>Fecha y hora de la calificación</t>
  </si>
  <si>
    <t>id_tipo_producto</t>
  </si>
  <si>
    <t>Identificador del tipo de producto</t>
  </si>
  <si>
    <t>Administrador que lo registró</t>
  </si>
  <si>
    <t>nombre_tipo_producto</t>
  </si>
  <si>
    <t>descripcion_tipo_producto</t>
  </si>
  <si>
    <t>estado_tipo_producto</t>
  </si>
  <si>
    <t>id_producto</t>
  </si>
  <si>
    <t>Identificador del producto</t>
  </si>
  <si>
    <t>Usuario vendedor</t>
  </si>
  <si>
    <t>Categoría del producto</t>
  </si>
  <si>
    <t>Ref. tipo_producto(id_tipo_producto) ON DELETE RESTRICT ON UPDATE CASCADE</t>
  </si>
  <si>
    <t>nombre_producto</t>
  </si>
  <si>
    <t>Nombre del artículo</t>
  </si>
  <si>
    <t>descripcion_producto</t>
  </si>
  <si>
    <t>Características del artículo</t>
  </si>
  <si>
    <t>precio_producto</t>
  </si>
  <si>
    <t>Precio unitario de venta</t>
  </si>
  <si>
    <t>CHECK (precio_producto &gt;= (0)</t>
  </si>
  <si>
    <t>cantidad_disponible</t>
  </si>
  <si>
    <t>Unidades disponibles</t>
  </si>
  <si>
    <t>DEFAULT 1; CHECK (cantidad_disponible &gt;= 0)</t>
  </si>
  <si>
    <t>condicion_producto</t>
  </si>
  <si>
    <t>Condición: nuevo o usado</t>
  </si>
  <si>
    <t>6</t>
  </si>
  <si>
    <t>DEFAULT 'nuevo'; CHECK (condicion_producto)IN ('nuevo', 'usado')</t>
  </si>
  <si>
    <t>estado_producto</t>
  </si>
  <si>
    <t>Estado: disponible, reservado, vendido, retirado</t>
  </si>
  <si>
    <t>DEFAULT 'disponible'; CHECK (estado_producto)IN ('disponible', 'reservado', 'vendido', 'retirado')</t>
  </si>
  <si>
    <t>id_compra</t>
  </si>
  <si>
    <t>Identificador de la compra (traza de venta)</t>
  </si>
  <si>
    <t>Producto comprado</t>
  </si>
  <si>
    <t>Ref. producto(id_producto) ON DELETE RESTRICT ON UPDATE CASCADE</t>
  </si>
  <si>
    <t>id_usuario_comprador</t>
  </si>
  <si>
    <t>Usuario comprador</t>
  </si>
  <si>
    <t>fecha_compra</t>
  </si>
  <si>
    <t>Fecha y hora de la compra</t>
  </si>
  <si>
    <t>cantidad</t>
  </si>
  <si>
    <t>Unidades compradas</t>
  </si>
  <si>
    <t>CHECK (cantidad &gt; 0) | CHECK (valor_total = (cantidad)* precio_unitario)</t>
  </si>
  <si>
    <t>precio_unitario</t>
  </si>
  <si>
    <t>Precio unitario al momento de la compra</t>
  </si>
  <si>
    <t>CHECK (precio_unitario &gt;= (0) | CHECK (valor_total = (cantidad)* precio_unitario)</t>
  </si>
  <si>
    <t>valor_total</t>
  </si>
  <si>
    <t>Total = cantidad x precio_unitario</t>
  </si>
  <si>
    <t>14,2</t>
  </si>
  <si>
    <t>CHECK (valor_total = (cantidad)* precio_unitario)</t>
  </si>
  <si>
    <t>estado_compra</t>
  </si>
  <si>
    <t>Estado: pagada, entregada, cancelada</t>
  </si>
  <si>
    <t>DEFAULT 'pagada'; CHECK (estado_compra)IN ('pagada', 'entregada', 'cancelada')</t>
  </si>
  <si>
    <t>id_tipo_evento</t>
  </si>
  <si>
    <t>Identificador del tipo de evento</t>
  </si>
  <si>
    <t>nombre_tipo_evento</t>
  </si>
  <si>
    <t>descripcion_tipo_evento</t>
  </si>
  <si>
    <t>estado_tipo_evento</t>
  </si>
  <si>
    <t>id_evento</t>
  </si>
  <si>
    <t>Identificador del evento</t>
  </si>
  <si>
    <t>id_usuario_organizador</t>
  </si>
  <si>
    <t>Usuario que organiza</t>
  </si>
  <si>
    <t>Categoría del evento</t>
  </si>
  <si>
    <t>Ref. tipo_evento(id_tipo_evento) ON DELETE RESTRICT ON UPDATE CASCADE</t>
  </si>
  <si>
    <t>nombre_evento</t>
  </si>
  <si>
    <t>Nombre del evento</t>
  </si>
  <si>
    <t>descripcion_evento</t>
  </si>
  <si>
    <t>Detalle y agenda</t>
  </si>
  <si>
    <t>fecha_inicio</t>
  </si>
  <si>
    <t>Fecha y hora de inicio</t>
  </si>
  <si>
    <t>CHECK (fecha_fin &gt;= fecha_inicio)</t>
  </si>
  <si>
    <t>fecha_fin</t>
  </si>
  <si>
    <t>Fecha y hora de finalización</t>
  </si>
  <si>
    <t>lugar_evento</t>
  </si>
  <si>
    <t>Lugar físico o enlace virtual</t>
  </si>
  <si>
    <t>cupo_maximo</t>
  </si>
  <si>
    <t>Número máximo de participantes</t>
  </si>
  <si>
    <t>CHECK (cupo_maximo IS NULL) OR (cupo_maximo &gt; 0)</t>
  </si>
  <si>
    <t>valor_entrada</t>
  </si>
  <si>
    <t>Valor de la entrada (0 = gratuito)</t>
  </si>
  <si>
    <t>DEFAULT 0; CHECK (valor_entrada &gt;= (0)</t>
  </si>
  <si>
    <t>estado_evento</t>
  </si>
  <si>
    <t>Estado: programado, en_curso, finalizado, cancelado</t>
  </si>
  <si>
    <t>DEFAULT 'programado'; CHECK (estado_evento)IN ('programado', 'en_curso', 'finalizado', 'cancelado')</t>
  </si>
  <si>
    <t>Evento (parte de la PK)</t>
  </si>
  <si>
    <t>Ref. evento(id_evento) ON DELETE CASCADE ON UPDATE CASCADE</t>
  </si>
  <si>
    <t>Usuario participante (parte de la PK)</t>
  </si>
  <si>
    <t>fecha_inscripcion</t>
  </si>
  <si>
    <t>Fecha y hora de inscripción</t>
  </si>
  <si>
    <t>valor_pagado</t>
  </si>
  <si>
    <t>Valor pagado por la entrada</t>
  </si>
  <si>
    <t>DEFAULT 0; CHECK (valor_pagado &gt;= (0)</t>
  </si>
  <si>
    <t>asistio</t>
  </si>
  <si>
    <t>TRUE si asistió</t>
  </si>
  <si>
    <t>me_gusta</t>
  </si>
  <si>
    <t>TRUE si dio 'me gusta' después del evento</t>
  </si>
  <si>
    <t>comentario_evento</t>
  </si>
  <si>
    <t>Comentario posterior al evento</t>
  </si>
  <si>
    <t>CHECK (comentario_evento IS NULL) AND (fecha_hora_comentario IS NULL) OR (comentario_evento IS NOT NULL) AND (fecha_hora_comentario IS NOT NULL)</t>
  </si>
  <si>
    <t>fecha_hora_comentario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</si>
</sst>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Calibri"/>
    </font>
    <font>
      <b/>
      <sz val="14.0"/>
      <color rgb="FFFFFFFF"/>
      <name val="Calibri"/>
    </font>
    <font>
      <color theme="1"/>
      <name val="&quot;Google Sans Text&quot;"/>
    </font>
    <font>
      <b/>
      <sz val="18.0"/>
      <color rgb="FFFFFFFF"/>
      <name val="Calibri"/>
    </font>
    <font>
      <i/>
      <color theme="1"/>
      <name val="&quot;Google Sans Text&quot;"/>
    </font>
    <font>
      <b/>
      <sz val="12.0"/>
      <color rgb="FF000000"/>
      <name val="Calibri"/>
    </font>
    <font>
      <b/>
      <color theme="1"/>
      <name val="&quot;Google Sans Text&quot;"/>
    </font>
    <font>
      <b/>
      <sz val="12.0"/>
      <color theme="1"/>
      <name val="Calibri"/>
    </font>
    <font>
      <color theme="1"/>
      <name val="Arial"/>
    </font>
    <font/>
    <font>
      <sz val="12.0"/>
      <color theme="1"/>
      <name val="Calibri"/>
    </font>
    <font>
      <b/>
      <sz val="12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readingOrder="0"/>
    </xf>
    <xf borderId="0" fillId="3" fontId="5" numFmtId="0" xfId="0" applyAlignment="1" applyFill="1" applyFont="1">
      <alignment horizontal="center" vertical="center"/>
    </xf>
    <xf borderId="1" fillId="0" fontId="6" numFmtId="0" xfId="0" applyAlignment="1" applyBorder="1" applyFont="1">
      <alignment readingOrder="0"/>
    </xf>
    <xf borderId="2" fillId="4" fontId="7" numFmtId="0" xfId="0" applyAlignment="1" applyBorder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1" fillId="0" fontId="8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/>
    </xf>
    <xf borderId="2" fillId="0" fontId="9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shrinkToFit="0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left" vertical="center"/>
    </xf>
    <xf borderId="3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9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left" readingOrder="0" vertical="center"/>
    </xf>
    <xf borderId="9" fillId="0" fontId="12" numFmtId="0" xfId="0" applyAlignment="1" applyBorder="1" applyFont="1">
      <alignment horizontal="left" vertical="center"/>
    </xf>
    <xf borderId="10" fillId="0" fontId="12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shrinkToFit="0" vertical="center" wrapText="1"/>
    </xf>
    <xf borderId="9" fillId="0" fontId="11" numFmtId="0" xfId="0" applyBorder="1" applyFont="1"/>
    <xf borderId="10" fillId="0" fontId="11" numFmtId="0" xfId="0" applyBorder="1" applyFont="1"/>
    <xf borderId="8" fillId="0" fontId="12" numFmtId="0" xfId="0" applyAlignment="1" applyBorder="1" applyFont="1">
      <alignment horizontal="left" vertical="center"/>
    </xf>
    <xf borderId="2" fillId="5" fontId="13" numFmtId="0" xfId="0" applyAlignment="1" applyBorder="1" applyFill="1" applyFont="1">
      <alignment horizontal="center" shrinkToFit="0" wrapText="1"/>
    </xf>
    <xf borderId="8" fillId="6" fontId="9" numFmtId="0" xfId="0" applyAlignment="1" applyBorder="1" applyFill="1" applyFont="1">
      <alignment horizontal="center" shrinkToFit="0" wrapText="1"/>
    </xf>
    <xf borderId="8" fillId="3" fontId="9" numFmtId="0" xfId="0" applyAlignment="1" applyBorder="1" applyFill="1" applyFont="1">
      <alignment horizontal="center" shrinkToFit="0" wrapText="1"/>
    </xf>
    <xf borderId="8" fillId="0" fontId="9" numFmtId="0" xfId="0" applyAlignment="1" applyBorder="1" applyFont="1">
      <alignment shrinkToFit="0" wrapText="1"/>
    </xf>
    <xf borderId="2" fillId="6" fontId="9" numFmtId="0" xfId="0" applyAlignment="1" applyBorder="1" applyFill="1" applyFont="1">
      <alignment horizontal="center" shrinkToFit="0" wrapText="1"/>
    </xf>
    <xf borderId="2" fillId="3" fontId="9" numFmtId="0" xfId="0" applyAlignment="1" applyBorder="1" applyFill="1" applyFont="1">
      <alignment horizontal="center" shrinkToFit="0" wrapText="1"/>
    </xf>
    <xf borderId="2" fillId="0" fontId="9" numFmtId="0" xfId="0" applyAlignment="1" applyBorder="1" applyFont="1">
      <alignment horizontal="center" shrinkToFit="0" wrapText="1"/>
    </xf>
    <xf borderId="2" fillId="3" fontId="12" numFmtId="0" xfId="0" applyAlignment="1" applyBorder="1" applyFill="1" applyFont="1">
      <alignment shrinkToFit="0" wrapText="1"/>
    </xf>
    <xf borderId="8" fillId="3" fontId="12" numFmtId="0" xfId="0" applyAlignment="1" applyBorder="1" applyFill="1" applyFont="1">
      <alignment shrinkToFit="0" wrapText="1"/>
    </xf>
    <xf borderId="8" fillId="3" fontId="12" numFmtId="0" xfId="0" applyAlignment="1" applyBorder="1" applyFill="1" applyFont="1">
      <alignment horizontal="center" shrinkToFit="0" wrapText="1"/>
    </xf>
    <xf borderId="8" fillId="3" fontId="10" numFmtId="0" xfId="0" applyBorder="1" applyFill="1" applyFont="1"/>
    <xf borderId="0" fillId="0" fontId="10" numFmtId="0" xfId="0" applyAlignment="1" applyFont="1">
      <alignment vertical="bottom"/>
    </xf>
    <xf borderId="2" fillId="0" fontId="9" numFmtId="0" xfId="0" applyAlignment="1" applyBorder="1" applyFont="1">
      <alignment horizontal="center" shrinkToFit="0" wrapText="1"/>
    </xf>
    <xf borderId="2" fillId="3" fontId="12" numFmtId="0" xfId="0" applyAlignment="1" applyBorder="1" applyFill="1" applyFont="1">
      <alignment shrinkToFit="0" wrapText="1"/>
    </xf>
    <xf borderId="8" fillId="3" fontId="12" numFmtId="0" xfId="0" applyAlignment="1" applyBorder="1" applyFill="1" applyFont="1">
      <alignment shrinkToFit="0" wrapText="1"/>
    </xf>
    <xf borderId="8" fillId="3" fontId="12" numFmtId="0" xfId="0" applyAlignment="1" applyBorder="1" applyFill="1" applyFont="1">
      <alignment horizontal="center" shrinkToFit="0" wrapText="1"/>
    </xf>
    <xf borderId="8" fillId="3" fontId="10" numFmtId="0" xfId="0" applyBorder="1" applyFill="1" applyFont="1"/>
    <xf borderId="0" fillId="0" fontId="10" numFmtId="0" xfId="0" applyAlignment="1" applyFont="1">
      <alignment vertical="bottom"/>
    </xf>
    <xf borderId="2" fillId="5" fontId="13" numFmtId="0" xfId="0" applyAlignment="1" applyBorder="1" applyFill="1" applyFont="1">
      <alignment horizontal="center" shrinkToFit="0" wrapText="1"/>
    </xf>
    <xf borderId="8" fillId="6" fontId="9" numFmtId="0" xfId="0" applyAlignment="1" applyBorder="1" applyFill="1" applyFont="1">
      <alignment horizontal="center" shrinkToFit="0" wrapText="1"/>
    </xf>
    <xf borderId="8" fillId="3" fontId="9" numFmtId="0" xfId="0" applyAlignment="1" applyBorder="1" applyFill="1" applyFont="1">
      <alignment horizontal="center" shrinkToFit="0" wrapText="1"/>
    </xf>
    <xf borderId="8" fillId="0" fontId="9" numFmtId="0" xfId="0" applyAlignment="1" applyBorder="1" applyFont="1">
      <alignment shrinkToFit="0" wrapText="1"/>
    </xf>
    <xf borderId="2" fillId="6" fontId="9" numFmtId="0" xfId="0" applyAlignment="1" applyBorder="1" applyFill="1" applyFont="1">
      <alignment horizontal="center" shrinkToFit="0" wrapText="1"/>
    </xf>
    <xf borderId="2" fillId="3" fontId="9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4</xdr:row>
      <xdr:rowOff>-190500</xdr:rowOff>
    </xdr:from>
    <xdr:ext cx="8496300" cy="7715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</cols>
  <sheetData>
    <row r="1">
      <c r="A1" s="1" t="s">
        <v>1</v>
      </c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6"/>
      <c r="D8" s="4"/>
      <c r="E8" s="4"/>
      <c r="F8" s="4"/>
      <c r="G8" s="4"/>
      <c r="H8" s="4"/>
    </row>
    <row r="9">
      <c r="A9" s="4"/>
      <c r="B9" s="4"/>
      <c r="C9" s="6"/>
      <c r="D9" s="4"/>
      <c r="E9" s="4"/>
      <c r="F9" s="4"/>
      <c r="G9" s="4"/>
      <c r="H9" s="4"/>
    </row>
    <row r="10">
      <c r="A10" s="4"/>
      <c r="B10" s="4"/>
      <c r="C10" s="6"/>
      <c r="D10" s="4"/>
      <c r="E10" s="4"/>
      <c r="F10" s="4"/>
      <c r="G10" s="4"/>
      <c r="H10" s="9"/>
    </row>
    <row r="11">
      <c r="A11" s="4"/>
      <c r="B11" s="4"/>
      <c r="C11" s="6"/>
      <c r="D11" s="4"/>
      <c r="E11" s="4"/>
      <c r="F11" s="4"/>
      <c r="G11" s="4"/>
      <c r="H11" s="4"/>
    </row>
    <row r="12">
      <c r="A12" s="4"/>
      <c r="B12" s="4"/>
      <c r="C12" s="6"/>
      <c r="D12" s="4"/>
      <c r="E12" s="4"/>
      <c r="F12" s="4"/>
      <c r="G12" s="4"/>
      <c r="H12" s="4"/>
    </row>
    <row r="13">
      <c r="A13" s="4"/>
      <c r="B13" s="4"/>
      <c r="C13" s="6"/>
      <c r="D13" s="4"/>
      <c r="E13" s="4"/>
      <c r="F13" s="4"/>
      <c r="G13" s="4"/>
      <c r="H13" s="4"/>
    </row>
    <row r="14">
      <c r="A14" s="4"/>
      <c r="B14" s="4"/>
      <c r="C14" s="6"/>
      <c r="D14" s="4"/>
      <c r="E14" s="4"/>
      <c r="F14" s="4"/>
      <c r="G14" s="4"/>
      <c r="H14" s="4"/>
    </row>
    <row r="15">
      <c r="A15" s="4"/>
      <c r="B15" s="4"/>
      <c r="C15" s="6"/>
      <c r="D15" s="4"/>
      <c r="E15" s="4"/>
      <c r="F15" s="4"/>
      <c r="G15" s="4"/>
      <c r="H15" s="4"/>
    </row>
    <row r="16">
      <c r="A16" s="4"/>
      <c r="B16" s="4"/>
      <c r="C16" s="6"/>
      <c r="D16" s="4"/>
      <c r="E16" s="4"/>
      <c r="F16" s="4"/>
      <c r="G16" s="4"/>
      <c r="H16" s="4"/>
    </row>
    <row r="17">
      <c r="A17" s="4"/>
      <c r="B17" s="4"/>
      <c r="C17" s="6"/>
      <c r="D17" s="4"/>
      <c r="E17" s="4"/>
      <c r="F17" s="4"/>
      <c r="G17" s="4"/>
      <c r="H17" s="4"/>
    </row>
    <row r="18">
      <c r="A18" s="4"/>
      <c r="B18" s="4"/>
      <c r="C18" s="6"/>
      <c r="D18" s="4"/>
      <c r="E18" s="4"/>
      <c r="F18" s="4"/>
      <c r="G18" s="4"/>
      <c r="H18" s="4"/>
    </row>
    <row r="19">
      <c r="A19" s="4"/>
      <c r="B19" s="4"/>
      <c r="C19" s="6"/>
      <c r="D19" s="4"/>
      <c r="E19" s="4"/>
      <c r="F19" s="4"/>
      <c r="G19" s="4"/>
      <c r="H19" s="9"/>
    </row>
    <row r="20">
      <c r="A20" s="4"/>
      <c r="B20" s="4"/>
      <c r="C20" s="6"/>
      <c r="D20" s="4"/>
      <c r="E20" s="4"/>
      <c r="F20" s="4"/>
      <c r="G20" s="4"/>
      <c r="H20" s="9"/>
    </row>
    <row r="21">
      <c r="A21" s="4"/>
      <c r="B21" s="4"/>
      <c r="C21" s="6"/>
      <c r="D21" s="4"/>
      <c r="E21" s="4"/>
      <c r="F21" s="4"/>
      <c r="G21" s="4"/>
      <c r="H21" s="4"/>
    </row>
    <row r="22">
      <c r="A22" s="4"/>
      <c r="B22" s="4"/>
      <c r="C22" s="6"/>
      <c r="D22" s="4"/>
      <c r="E22" s="4"/>
      <c r="F22" s="4"/>
      <c r="G22" s="4"/>
      <c r="H22" s="4"/>
    </row>
    <row r="23">
      <c r="A23" s="4"/>
      <c r="B23" s="4"/>
      <c r="C23" s="6"/>
      <c r="D23" s="4"/>
      <c r="E23" s="4"/>
      <c r="F23" s="4"/>
      <c r="G23" s="4"/>
      <c r="H23" s="4"/>
    </row>
    <row r="24">
      <c r="A24" s="4"/>
      <c r="B24" s="4"/>
      <c r="C24" s="6"/>
      <c r="D24" s="4"/>
      <c r="E24" s="4"/>
      <c r="F24" s="4"/>
      <c r="G24" s="4"/>
      <c r="H24" s="4"/>
      <c r="K24" s="15"/>
    </row>
    <row r="25">
      <c r="A25" s="4"/>
      <c r="B25" s="4"/>
      <c r="C25" s="6"/>
      <c r="D25" s="4"/>
      <c r="E25" s="4"/>
      <c r="F25" s="4"/>
      <c r="G25" s="4"/>
      <c r="H25" s="4"/>
      <c r="K25" s="15"/>
    </row>
    <row r="26">
      <c r="A26" s="4"/>
      <c r="B26" s="4"/>
      <c r="C26" s="6"/>
      <c r="D26" s="4"/>
      <c r="E26" s="4"/>
      <c r="F26" s="4"/>
      <c r="G26" s="4"/>
      <c r="H26" s="4"/>
      <c r="K26" s="15"/>
    </row>
    <row r="27">
      <c r="A27" s="4"/>
      <c r="B27" s="4"/>
      <c r="C27" s="6"/>
      <c r="D27" s="4"/>
      <c r="E27" s="4"/>
      <c r="F27" s="4"/>
      <c r="G27" s="4"/>
      <c r="H27" s="4"/>
      <c r="K27" s="15"/>
    </row>
    <row r="28">
      <c r="A28" s="4"/>
      <c r="B28" s="4"/>
      <c r="C28" s="6"/>
      <c r="D28" s="4"/>
      <c r="E28" s="4"/>
      <c r="F28" s="4"/>
      <c r="G28" s="4"/>
      <c r="H28" s="4"/>
      <c r="K28" s="15"/>
    </row>
    <row r="29">
      <c r="A29" s="4"/>
      <c r="B29" s="4"/>
      <c r="C29" s="6"/>
      <c r="D29" s="4"/>
      <c r="E29" s="4"/>
      <c r="F29" s="4"/>
      <c r="G29" s="4"/>
      <c r="H29" s="9"/>
      <c r="K29" s="15"/>
    </row>
    <row r="30">
      <c r="A30" s="4"/>
      <c r="B30" s="4"/>
      <c r="C30" s="6"/>
      <c r="D30" s="4"/>
      <c r="E30" s="4"/>
      <c r="F30" s="4"/>
      <c r="G30" s="4"/>
      <c r="H30" s="4"/>
      <c r="K30" s="15"/>
    </row>
    <row r="31">
      <c r="A31" s="4"/>
      <c r="B31" s="4"/>
      <c r="C31" s="6"/>
      <c r="D31" s="4"/>
      <c r="E31" s="4"/>
      <c r="F31" s="4"/>
      <c r="G31" s="4"/>
      <c r="H31" s="4"/>
      <c r="K31" s="15"/>
    </row>
    <row r="32">
      <c r="A32" s="4"/>
      <c r="B32" s="4"/>
      <c r="C32" s="6"/>
      <c r="D32" s="4"/>
      <c r="E32" s="4"/>
      <c r="F32" s="4"/>
      <c r="G32" s="4"/>
      <c r="H32" s="4"/>
      <c r="K32" s="15"/>
    </row>
    <row r="33">
      <c r="A33" s="4"/>
      <c r="B33" s="4"/>
      <c r="C33" s="6"/>
      <c r="D33" s="4"/>
      <c r="E33" s="4"/>
      <c r="F33" s="4"/>
      <c r="G33" s="4"/>
      <c r="H33" s="4"/>
      <c r="K33" s="15"/>
    </row>
    <row r="34">
      <c r="A34" s="4"/>
      <c r="B34" s="4"/>
      <c r="C34" s="6"/>
      <c r="D34" s="4"/>
      <c r="E34" s="4"/>
      <c r="F34" s="4"/>
      <c r="G34" s="4"/>
      <c r="H34" s="4"/>
      <c r="K34" s="15"/>
    </row>
    <row r="35">
      <c r="A35" s="4"/>
      <c r="B35" s="4"/>
      <c r="C35" s="6"/>
      <c r="D35" s="4"/>
      <c r="E35" s="4"/>
      <c r="F35" s="4"/>
      <c r="G35" s="4"/>
      <c r="H35" s="4"/>
    </row>
    <row r="36">
      <c r="A36" s="4"/>
      <c r="B36" s="4"/>
      <c r="C36" s="6"/>
      <c r="D36" s="4"/>
      <c r="E36" s="4"/>
      <c r="F36" s="4"/>
      <c r="G36" s="4"/>
      <c r="H36" s="4"/>
    </row>
    <row r="37">
      <c r="A37" s="4"/>
      <c r="B37" s="4"/>
      <c r="C37" s="6"/>
      <c r="D37" s="4"/>
      <c r="E37" s="4"/>
      <c r="F37" s="4"/>
      <c r="G37" s="4"/>
      <c r="H37" s="4"/>
    </row>
    <row r="38">
      <c r="A38" s="4"/>
      <c r="B38" s="4"/>
      <c r="C38" s="6"/>
      <c r="D38" s="4"/>
      <c r="E38" s="4"/>
      <c r="F38" s="4"/>
      <c r="G38" s="4"/>
      <c r="H3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51.13"/>
  </cols>
  <sheetData>
    <row r="1" ht="28.5" customHeight="1">
      <c r="A1" s="3" t="s">
        <v>2</v>
      </c>
      <c r="E1" s="5"/>
      <c r="F1" s="5"/>
      <c r="G1" s="5"/>
      <c r="H1" s="5"/>
      <c r="I1" s="5"/>
    </row>
    <row r="2" ht="36.0" customHeight="1">
      <c r="A2" s="7" t="s">
        <v>3</v>
      </c>
      <c r="B2" s="7" t="s">
        <v>4</v>
      </c>
      <c r="C2" s="7" t="s">
        <v>6</v>
      </c>
      <c r="D2" s="7" t="s">
        <v>7</v>
      </c>
    </row>
    <row r="3" ht="53.25" customHeight="1">
      <c r="A3" s="10">
        <v>1.0</v>
      </c>
      <c r="B3" s="11" t="s">
        <v>11</v>
      </c>
      <c r="C3" s="11" t="s">
        <v>13</v>
      </c>
      <c r="D3" s="11" t="s">
        <v>14</v>
      </c>
    </row>
    <row r="4" ht="53.25" customHeight="1">
      <c r="A4" s="10">
        <v>2.0</v>
      </c>
      <c r="B4" s="11" t="s">
        <v>15</v>
      </c>
      <c r="C4" s="11" t="s">
        <v>17</v>
      </c>
      <c r="D4" s="11" t="s">
        <v>18</v>
      </c>
    </row>
    <row r="5" ht="53.25" customHeight="1">
      <c r="A5" s="10">
        <v>3.0</v>
      </c>
      <c r="B5" s="11" t="s">
        <v>20</v>
      </c>
      <c r="C5" s="11" t="s">
        <v>21</v>
      </c>
      <c r="D5" s="11" t="s">
        <v>22</v>
      </c>
    </row>
    <row r="6" ht="53.25" customHeight="1">
      <c r="A6" s="10">
        <v>4.0</v>
      </c>
      <c r="B6" s="11" t="s">
        <v>25</v>
      </c>
      <c r="C6" s="11" t="s">
        <v>26</v>
      </c>
      <c r="D6" s="11" t="s">
        <v>28</v>
      </c>
    </row>
    <row r="7" ht="53.25" customHeight="1">
      <c r="A7" s="10">
        <v>5.0</v>
      </c>
      <c r="B7" s="11" t="s">
        <v>31</v>
      </c>
      <c r="C7" s="11" t="s">
        <v>32</v>
      </c>
      <c r="D7" s="11" t="s">
        <v>33</v>
      </c>
    </row>
    <row r="8" ht="53.25" customHeight="1">
      <c r="A8" s="10">
        <v>6.0</v>
      </c>
      <c r="B8" s="11" t="s">
        <v>37</v>
      </c>
      <c r="C8" s="11" t="s">
        <v>38</v>
      </c>
      <c r="D8" s="11" t="s">
        <v>40</v>
      </c>
    </row>
    <row r="9" ht="53.25" customHeight="1">
      <c r="A9" s="10">
        <v>7.0</v>
      </c>
      <c r="B9" s="11" t="s">
        <v>42</v>
      </c>
      <c r="C9" s="11" t="s">
        <v>44</v>
      </c>
      <c r="D9" s="11" t="s">
        <v>46</v>
      </c>
    </row>
    <row r="10" ht="53.25" customHeight="1">
      <c r="A10" s="10">
        <v>8.0</v>
      </c>
      <c r="B10" s="11" t="s">
        <v>49</v>
      </c>
      <c r="C10" s="11" t="s">
        <v>50</v>
      </c>
      <c r="D10" s="11" t="s">
        <v>51</v>
      </c>
    </row>
    <row r="11" ht="53.25" customHeight="1">
      <c r="A11" s="10">
        <v>9.0</v>
      </c>
      <c r="B11" s="11" t="s">
        <v>52</v>
      </c>
      <c r="C11" s="11" t="s">
        <v>53</v>
      </c>
      <c r="D11" s="11" t="s">
        <v>54</v>
      </c>
    </row>
    <row r="12" ht="53.25" customHeight="1">
      <c r="A12" s="10">
        <v>10.0</v>
      </c>
      <c r="B12" s="11" t="s">
        <v>55</v>
      </c>
      <c r="C12" s="11" t="s">
        <v>56</v>
      </c>
      <c r="D12" s="11" t="s">
        <v>58</v>
      </c>
    </row>
    <row r="13" ht="53.25" customHeight="1">
      <c r="A13" s="10">
        <v>11.0</v>
      </c>
      <c r="B13" s="11" t="s">
        <v>61</v>
      </c>
      <c r="C13" s="11" t="s">
        <v>63</v>
      </c>
      <c r="D13" s="11" t="s">
        <v>64</v>
      </c>
    </row>
    <row r="14" ht="53.25" customHeight="1">
      <c r="A14" s="10">
        <v>12.0</v>
      </c>
      <c r="B14" s="14" t="s">
        <v>70</v>
      </c>
      <c r="C14" s="14" t="s">
        <v>73</v>
      </c>
      <c r="D14" s="14" t="s">
        <v>75</v>
      </c>
    </row>
    <row r="15" ht="53.25" customHeight="1">
      <c r="A15" s="10">
        <v>13.0</v>
      </c>
      <c r="B15" s="14" t="s">
        <v>78</v>
      </c>
      <c r="C15" s="14" t="s">
        <v>79</v>
      </c>
      <c r="D15" s="14" t="s">
        <v>81</v>
      </c>
    </row>
    <row r="16" ht="53.25" customHeight="1">
      <c r="A16" s="10">
        <v>14.0</v>
      </c>
      <c r="B16" s="14" t="s">
        <v>84</v>
      </c>
      <c r="C16" s="14" t="s">
        <v>86</v>
      </c>
      <c r="D16" s="14" t="s">
        <v>87</v>
      </c>
    </row>
    <row r="17" ht="53.25" customHeight="1">
      <c r="A17" s="10">
        <v>15.0</v>
      </c>
      <c r="B17" s="14" t="s">
        <v>90</v>
      </c>
      <c r="C17" s="14" t="s">
        <v>92</v>
      </c>
      <c r="D17" s="14" t="s">
        <v>93</v>
      </c>
    </row>
    <row r="18" ht="53.25" customHeight="1">
      <c r="A18" s="10">
        <v>16.0</v>
      </c>
      <c r="B18" s="14" t="s">
        <v>95</v>
      </c>
      <c r="C18" s="14" t="s">
        <v>96</v>
      </c>
      <c r="D18" s="14" t="s">
        <v>99</v>
      </c>
    </row>
    <row r="19" ht="53.25" customHeight="1">
      <c r="A19" s="10">
        <v>17.0</v>
      </c>
      <c r="B19" s="14" t="s">
        <v>103</v>
      </c>
      <c r="C19" s="14" t="s">
        <v>104</v>
      </c>
      <c r="D19" s="14" t="s">
        <v>105</v>
      </c>
    </row>
    <row r="20" ht="53.25" customHeight="1">
      <c r="A20" s="10">
        <v>18.0</v>
      </c>
      <c r="B20" s="14" t="s">
        <v>108</v>
      </c>
      <c r="C20" s="14" t="s">
        <v>109</v>
      </c>
      <c r="D20" s="14" t="s">
        <v>110</v>
      </c>
    </row>
    <row r="21" ht="53.25" customHeight="1">
      <c r="A21" s="10">
        <v>19.0</v>
      </c>
      <c r="B21" s="14" t="s">
        <v>112</v>
      </c>
      <c r="C21" s="14" t="s">
        <v>113</v>
      </c>
      <c r="D21" s="14" t="s">
        <v>115</v>
      </c>
    </row>
    <row r="22" ht="53.25" customHeight="1">
      <c r="A22" s="10">
        <v>20.0</v>
      </c>
      <c r="B22" s="14" t="s">
        <v>117</v>
      </c>
      <c r="C22" s="14" t="s">
        <v>119</v>
      </c>
      <c r="D22" s="14" t="s">
        <v>122</v>
      </c>
    </row>
    <row r="23" ht="53.25" customHeight="1">
      <c r="A23" s="10">
        <v>21.0</v>
      </c>
      <c r="B23" s="14" t="s">
        <v>123</v>
      </c>
      <c r="C23" s="14" t="s">
        <v>125</v>
      </c>
      <c r="D23" s="14" t="s">
        <v>127</v>
      </c>
    </row>
    <row r="24" ht="53.25" customHeight="1">
      <c r="A24" s="10">
        <v>22.0</v>
      </c>
      <c r="B24" s="14" t="s">
        <v>130</v>
      </c>
      <c r="C24" s="14" t="s">
        <v>131</v>
      </c>
      <c r="D24" s="14" t="s">
        <v>132</v>
      </c>
    </row>
    <row r="25" ht="53.25" customHeight="1">
      <c r="A25" s="10">
        <v>23.0</v>
      </c>
      <c r="B25" s="14" t="s">
        <v>136</v>
      </c>
      <c r="C25" s="14" t="s">
        <v>137</v>
      </c>
      <c r="D25" s="14" t="s">
        <v>139</v>
      </c>
    </row>
    <row r="26" ht="53.25" customHeight="1">
      <c r="A26" s="16">
        <f t="shared" ref="A26:A27" si="1">A25+1</f>
        <v>24</v>
      </c>
      <c r="B26" s="17"/>
      <c r="C26" s="17"/>
      <c r="D26" s="17"/>
    </row>
    <row r="27" ht="53.25" customHeight="1">
      <c r="A27" s="16">
        <f t="shared" si="1"/>
        <v>25</v>
      </c>
      <c r="B27" s="17"/>
      <c r="C27" s="17"/>
      <c r="D27" s="1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  <col customWidth="1" min="4" max="4" width="19.0"/>
    <col customWidth="1" min="5" max="5" width="16.5"/>
    <col customWidth="1" min="6" max="6" width="45.5"/>
  </cols>
  <sheetData>
    <row r="1" ht="28.5" customHeight="1">
      <c r="A1" s="2" t="s">
        <v>0</v>
      </c>
      <c r="G1" s="5"/>
      <c r="H1" s="5"/>
      <c r="I1" s="5"/>
      <c r="J1" s="5"/>
    </row>
    <row r="2" ht="36.0" customHeight="1">
      <c r="A2" s="7" t="s">
        <v>3</v>
      </c>
      <c r="B2" s="8" t="s">
        <v>5</v>
      </c>
      <c r="C2" s="7" t="s">
        <v>8</v>
      </c>
      <c r="D2" s="7" t="s">
        <v>9</v>
      </c>
      <c r="E2" s="7" t="s">
        <v>10</v>
      </c>
      <c r="F2" s="7" t="s">
        <v>7</v>
      </c>
    </row>
    <row r="3" ht="46.5" customHeight="1">
      <c r="A3" s="10">
        <v>1.0</v>
      </c>
      <c r="B3" s="12" t="s">
        <v>12</v>
      </c>
      <c r="C3" s="11" t="s">
        <v>16</v>
      </c>
      <c r="D3" s="13" t="s">
        <v>19</v>
      </c>
      <c r="E3" s="13" t="s">
        <v>23</v>
      </c>
      <c r="F3" s="13" t="s">
        <v>24</v>
      </c>
    </row>
    <row r="4" ht="46.5" customHeight="1">
      <c r="A4" s="10">
        <v>2.0</v>
      </c>
      <c r="B4" s="12" t="s">
        <v>27</v>
      </c>
      <c r="C4" s="11" t="s">
        <v>27</v>
      </c>
      <c r="D4" s="13" t="s">
        <v>29</v>
      </c>
      <c r="E4" s="13">
        <v>16.0</v>
      </c>
      <c r="F4" s="13" t="s">
        <v>30</v>
      </c>
    </row>
    <row r="5" ht="46.5" customHeight="1">
      <c r="A5" s="10">
        <v>3.0</v>
      </c>
      <c r="B5" s="12" t="s">
        <v>34</v>
      </c>
      <c r="C5" s="11" t="s">
        <v>35</v>
      </c>
      <c r="D5" s="13" t="s">
        <v>36</v>
      </c>
      <c r="E5" s="13" t="s">
        <v>23</v>
      </c>
      <c r="F5" s="13" t="s">
        <v>39</v>
      </c>
    </row>
    <row r="6" ht="46.5" customHeight="1">
      <c r="A6" s="10">
        <v>4.0</v>
      </c>
      <c r="B6" s="12" t="s">
        <v>41</v>
      </c>
      <c r="C6" s="11" t="s">
        <v>43</v>
      </c>
      <c r="D6" s="13" t="s">
        <v>45</v>
      </c>
      <c r="E6" s="13" t="s">
        <v>47</v>
      </c>
      <c r="F6" s="13" t="s">
        <v>48</v>
      </c>
    </row>
    <row r="7" ht="46.5" customHeight="1">
      <c r="A7" s="10">
        <v>5.0</v>
      </c>
      <c r="B7" s="12" t="s">
        <v>57</v>
      </c>
      <c r="C7" s="11" t="s">
        <v>59</v>
      </c>
      <c r="D7" s="13" t="s">
        <v>60</v>
      </c>
      <c r="E7" s="13">
        <v>1.0</v>
      </c>
      <c r="F7" s="13" t="s">
        <v>62</v>
      </c>
    </row>
    <row r="8" ht="46.5" customHeight="1">
      <c r="A8" s="10">
        <v>6.0</v>
      </c>
      <c r="B8" s="12" t="s">
        <v>65</v>
      </c>
      <c r="C8" s="11" t="s">
        <v>66</v>
      </c>
      <c r="D8" s="13" t="s">
        <v>67</v>
      </c>
      <c r="E8" s="13" t="s">
        <v>68</v>
      </c>
      <c r="F8" s="13" t="s">
        <v>69</v>
      </c>
    </row>
    <row r="9" ht="46.5" customHeight="1">
      <c r="A9" s="10">
        <v>7.0</v>
      </c>
      <c r="B9" s="12" t="s">
        <v>71</v>
      </c>
      <c r="C9" s="11" t="s">
        <v>72</v>
      </c>
      <c r="D9" s="13" t="s">
        <v>74</v>
      </c>
      <c r="E9" s="13" t="s">
        <v>76</v>
      </c>
      <c r="F9" s="13" t="s">
        <v>77</v>
      </c>
    </row>
    <row r="10" ht="46.5" customHeight="1">
      <c r="A10" s="10">
        <v>8.0</v>
      </c>
      <c r="B10" s="12" t="s">
        <v>80</v>
      </c>
      <c r="C10" s="11" t="s">
        <v>82</v>
      </c>
      <c r="D10" s="13" t="s">
        <v>83</v>
      </c>
      <c r="E10" s="13">
        <v>4.0</v>
      </c>
      <c r="F10" s="13" t="s">
        <v>85</v>
      </c>
    </row>
    <row r="11" ht="46.5" customHeight="1">
      <c r="A11" s="10">
        <v>9.0</v>
      </c>
      <c r="B11" s="12" t="s">
        <v>88</v>
      </c>
      <c r="C11" s="11" t="s">
        <v>89</v>
      </c>
      <c r="D11" s="13" t="s">
        <v>91</v>
      </c>
      <c r="E11" s="13">
        <v>8.0</v>
      </c>
      <c r="F11" s="13" t="s">
        <v>94</v>
      </c>
    </row>
    <row r="12" ht="46.5" customHeight="1">
      <c r="A12" s="10">
        <v>10.0</v>
      </c>
      <c r="B12" s="12" t="s">
        <v>97</v>
      </c>
      <c r="C12" s="11" t="s">
        <v>98</v>
      </c>
      <c r="D12" s="13" t="s">
        <v>100</v>
      </c>
      <c r="E12" s="13" t="s">
        <v>101</v>
      </c>
      <c r="F12" s="13" t="s">
        <v>102</v>
      </c>
    </row>
    <row r="13" ht="46.5" customHeight="1">
      <c r="A13" s="10">
        <v>11.0</v>
      </c>
      <c r="B13" s="12" t="s">
        <v>106</v>
      </c>
      <c r="C13" s="11" t="s">
        <v>98</v>
      </c>
      <c r="D13" s="13" t="s">
        <v>107</v>
      </c>
      <c r="E13" s="13" t="s">
        <v>101</v>
      </c>
      <c r="F13" s="13" t="s">
        <v>111</v>
      </c>
    </row>
    <row r="14" ht="46.5" customHeight="1">
      <c r="A14" s="10">
        <v>12.0</v>
      </c>
      <c r="B14" s="12" t="s">
        <v>114</v>
      </c>
      <c r="C14" s="14" t="s">
        <v>116</v>
      </c>
      <c r="D14" s="13" t="s">
        <v>118</v>
      </c>
      <c r="E14" s="13" t="s">
        <v>120</v>
      </c>
      <c r="F14" s="13" t="s">
        <v>121</v>
      </c>
    </row>
    <row r="15" ht="46.5" customHeight="1">
      <c r="A15" s="10">
        <v>13.0</v>
      </c>
      <c r="B15" s="12" t="s">
        <v>124</v>
      </c>
      <c r="C15" s="14" t="s">
        <v>126</v>
      </c>
      <c r="D15" s="13" t="s">
        <v>128</v>
      </c>
      <c r="E15" s="13" t="s">
        <v>101</v>
      </c>
      <c r="F15" s="13" t="s">
        <v>129</v>
      </c>
    </row>
    <row r="16" ht="46.5" customHeight="1">
      <c r="A16" s="10">
        <v>14.0</v>
      </c>
      <c r="B16" s="12" t="s">
        <v>133</v>
      </c>
      <c r="C16" s="14" t="s">
        <v>134</v>
      </c>
      <c r="D16" s="13" t="s">
        <v>135</v>
      </c>
      <c r="E16" s="13" t="s">
        <v>76</v>
      </c>
      <c r="F16" s="13" t="s">
        <v>138</v>
      </c>
    </row>
    <row r="17" ht="46.5" customHeight="1">
      <c r="A17" s="10">
        <v>15.0</v>
      </c>
      <c r="B17" s="12" t="s">
        <v>140</v>
      </c>
      <c r="C17" s="14" t="s">
        <v>141</v>
      </c>
      <c r="D17" s="13" t="s">
        <v>142</v>
      </c>
      <c r="E17" s="13" t="s">
        <v>143</v>
      </c>
      <c r="F17" s="13" t="s">
        <v>144</v>
      </c>
    </row>
    <row r="18" ht="46.5" customHeight="1">
      <c r="A18" s="10">
        <v>16.0</v>
      </c>
      <c r="B18" s="12" t="s">
        <v>145</v>
      </c>
      <c r="C18" s="14" t="s">
        <v>146</v>
      </c>
      <c r="D18" s="13" t="s">
        <v>147</v>
      </c>
      <c r="E18" s="13" t="s">
        <v>101</v>
      </c>
      <c r="F18" s="13" t="s">
        <v>148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5"/>
    <col customWidth="1" min="3" max="3" width="13.38"/>
    <col customWidth="1" min="4" max="9" width="3.88"/>
    <col customWidth="1" min="10" max="10" width="5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25.5" customHeight="1">
      <c r="A1" s="2" t="s">
        <v>149</v>
      </c>
    </row>
    <row r="2" ht="30.75" customHeight="1">
      <c r="A2" s="2" t="s">
        <v>150</v>
      </c>
    </row>
    <row r="3" ht="25.5" customHeight="1">
      <c r="A3" s="18" t="s">
        <v>3</v>
      </c>
      <c r="B3" s="19" t="s">
        <v>4</v>
      </c>
      <c r="C3" s="20"/>
      <c r="D3" s="20"/>
      <c r="E3" s="21"/>
      <c r="F3" s="19" t="s">
        <v>6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  <c r="X3" s="19" t="s">
        <v>7</v>
      </c>
      <c r="Y3" s="22"/>
    </row>
    <row r="4" ht="30.0" customHeight="1">
      <c r="A4" s="10">
        <v>1.0</v>
      </c>
      <c r="B4" s="23" t="s">
        <v>11</v>
      </c>
      <c r="C4" s="24"/>
      <c r="D4" s="24"/>
      <c r="E4" s="25"/>
      <c r="F4" s="26" t="s">
        <v>13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23" t="s">
        <v>151</v>
      </c>
      <c r="Y4" s="25"/>
    </row>
    <row r="5" ht="30.0" customHeight="1">
      <c r="A5" s="10">
        <v>2.0</v>
      </c>
      <c r="B5" s="23" t="s">
        <v>15</v>
      </c>
      <c r="C5" s="24"/>
      <c r="D5" s="24"/>
      <c r="E5" s="25"/>
      <c r="F5" s="26" t="s">
        <v>17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23" t="s">
        <v>151</v>
      </c>
      <c r="Y5" s="25"/>
    </row>
    <row r="6" ht="30.0" customHeight="1">
      <c r="A6" s="10">
        <v>3.0</v>
      </c>
      <c r="B6" s="23" t="s">
        <v>20</v>
      </c>
      <c r="C6" s="24"/>
      <c r="D6" s="24"/>
      <c r="E6" s="25"/>
      <c r="F6" s="26" t="s">
        <v>21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/>
      <c r="X6" s="23" t="s">
        <v>151</v>
      </c>
      <c r="Y6" s="25"/>
    </row>
    <row r="7" ht="30.0" customHeight="1">
      <c r="A7" s="10">
        <v>4.0</v>
      </c>
      <c r="B7" s="23" t="s">
        <v>25</v>
      </c>
      <c r="C7" s="24"/>
      <c r="D7" s="24"/>
      <c r="E7" s="25"/>
      <c r="F7" s="26" t="s">
        <v>26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/>
      <c r="X7" s="23" t="s">
        <v>152</v>
      </c>
      <c r="Y7" s="25"/>
    </row>
    <row r="8" ht="30.0" customHeight="1">
      <c r="A8" s="10">
        <v>5.0</v>
      </c>
      <c r="B8" s="23" t="s">
        <v>31</v>
      </c>
      <c r="C8" s="24"/>
      <c r="D8" s="24"/>
      <c r="E8" s="25"/>
      <c r="F8" s="26" t="s">
        <v>32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/>
      <c r="X8" s="23" t="s">
        <v>151</v>
      </c>
      <c r="Y8" s="25"/>
    </row>
    <row r="9" ht="30.0" customHeight="1">
      <c r="A9" s="10">
        <v>6.0</v>
      </c>
      <c r="B9" s="23" t="s">
        <v>37</v>
      </c>
      <c r="C9" s="24"/>
      <c r="D9" s="24"/>
      <c r="E9" s="25"/>
      <c r="F9" s="26" t="s">
        <v>38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/>
      <c r="X9" s="23" t="s">
        <v>151</v>
      </c>
      <c r="Y9" s="25"/>
    </row>
    <row r="10" ht="30.0" customHeight="1">
      <c r="A10" s="10">
        <v>7.0</v>
      </c>
      <c r="B10" s="23" t="s">
        <v>42</v>
      </c>
      <c r="C10" s="24"/>
      <c r="D10" s="24"/>
      <c r="E10" s="25"/>
      <c r="F10" s="26" t="s">
        <v>44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/>
      <c r="X10" s="23" t="s">
        <v>153</v>
      </c>
      <c r="Y10" s="25"/>
    </row>
    <row r="11" ht="30.0" customHeight="1">
      <c r="A11" s="10">
        <v>8.0</v>
      </c>
      <c r="B11" s="23" t="s">
        <v>49</v>
      </c>
      <c r="C11" s="24"/>
      <c r="D11" s="24"/>
      <c r="E11" s="25"/>
      <c r="F11" s="26" t="s">
        <v>50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/>
      <c r="X11" s="23" t="s">
        <v>154</v>
      </c>
      <c r="Y11" s="25"/>
    </row>
    <row r="12" ht="30.0" customHeight="1">
      <c r="A12" s="10">
        <v>9.0</v>
      </c>
      <c r="B12" s="23" t="s">
        <v>52</v>
      </c>
      <c r="C12" s="24"/>
      <c r="D12" s="24"/>
      <c r="E12" s="25"/>
      <c r="F12" s="26" t="s">
        <v>53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/>
      <c r="X12" s="23" t="s">
        <v>151</v>
      </c>
      <c r="Y12" s="25"/>
    </row>
    <row r="13" ht="30.0" customHeight="1">
      <c r="A13" s="10">
        <v>10.0</v>
      </c>
      <c r="B13" s="23" t="s">
        <v>55</v>
      </c>
      <c r="C13" s="24"/>
      <c r="D13" s="24"/>
      <c r="E13" s="25"/>
      <c r="F13" s="26" t="s">
        <v>56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/>
      <c r="X13" s="23" t="s">
        <v>151</v>
      </c>
      <c r="Y13" s="25"/>
    </row>
    <row r="14" ht="30.0" customHeight="1">
      <c r="A14" s="10">
        <v>11.0</v>
      </c>
      <c r="B14" s="23" t="s">
        <v>61</v>
      </c>
      <c r="C14" s="24"/>
      <c r="D14" s="24"/>
      <c r="E14" s="25"/>
      <c r="F14" s="26" t="s">
        <v>63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8"/>
      <c r="X14" s="23" t="s">
        <v>155</v>
      </c>
      <c r="Y14" s="25"/>
    </row>
    <row r="15" ht="30.0" customHeight="1">
      <c r="A15" s="10">
        <v>12.0</v>
      </c>
      <c r="B15" s="23" t="s">
        <v>70</v>
      </c>
      <c r="C15" s="24"/>
      <c r="D15" s="24"/>
      <c r="E15" s="25"/>
      <c r="F15" s="26" t="s">
        <v>73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8"/>
      <c r="X15" s="23" t="s">
        <v>151</v>
      </c>
      <c r="Y15" s="25"/>
    </row>
    <row r="16" ht="30.0" customHeight="1">
      <c r="A16" s="10">
        <v>13.0</v>
      </c>
      <c r="B16" s="23" t="s">
        <v>78</v>
      </c>
      <c r="C16" s="24"/>
      <c r="D16" s="24"/>
      <c r="E16" s="25"/>
      <c r="F16" s="26" t="s">
        <v>79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8"/>
      <c r="X16" s="23" t="s">
        <v>151</v>
      </c>
      <c r="Y16" s="25"/>
    </row>
    <row r="17" ht="30.0" customHeight="1">
      <c r="A17" s="10">
        <v>14.0</v>
      </c>
      <c r="B17" s="23" t="s">
        <v>84</v>
      </c>
      <c r="C17" s="24"/>
      <c r="D17" s="24"/>
      <c r="E17" s="25"/>
      <c r="F17" s="26" t="s">
        <v>86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8"/>
      <c r="X17" s="23" t="s">
        <v>151</v>
      </c>
      <c r="Y17" s="25"/>
    </row>
    <row r="18" ht="30.0" customHeight="1">
      <c r="A18" s="10">
        <v>15.0</v>
      </c>
      <c r="B18" s="23" t="s">
        <v>90</v>
      </c>
      <c r="C18" s="24"/>
      <c r="D18" s="24"/>
      <c r="E18" s="25"/>
      <c r="F18" s="26" t="s">
        <v>92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8"/>
      <c r="X18" s="23" t="s">
        <v>151</v>
      </c>
      <c r="Y18" s="25"/>
    </row>
    <row r="19" ht="30.0" customHeight="1">
      <c r="A19" s="10">
        <v>16.0</v>
      </c>
      <c r="B19" s="23" t="s">
        <v>95</v>
      </c>
      <c r="C19" s="24"/>
      <c r="D19" s="24"/>
      <c r="E19" s="25"/>
      <c r="F19" s="26" t="s">
        <v>96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23" t="s">
        <v>156</v>
      </c>
      <c r="Y19" s="25"/>
    </row>
    <row r="20" ht="30.0" customHeight="1">
      <c r="A20" s="10">
        <v>17.0</v>
      </c>
      <c r="B20" s="23" t="s">
        <v>103</v>
      </c>
      <c r="C20" s="24"/>
      <c r="D20" s="24"/>
      <c r="E20" s="25"/>
      <c r="F20" s="26" t="s">
        <v>104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/>
      <c r="X20" s="23" t="s">
        <v>155</v>
      </c>
      <c r="Y20" s="25"/>
    </row>
    <row r="21" ht="30.0" customHeight="1">
      <c r="A21" s="10">
        <v>18.0</v>
      </c>
      <c r="B21" s="23" t="s">
        <v>108</v>
      </c>
      <c r="C21" s="24"/>
      <c r="D21" s="24"/>
      <c r="E21" s="25"/>
      <c r="F21" s="26" t="s">
        <v>109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/>
      <c r="X21" s="23" t="s">
        <v>151</v>
      </c>
      <c r="Y21" s="25"/>
    </row>
    <row r="22" ht="30.0" customHeight="1">
      <c r="A22" s="10">
        <v>19.0</v>
      </c>
      <c r="B22" s="23" t="s">
        <v>112</v>
      </c>
      <c r="C22" s="24"/>
      <c r="D22" s="24"/>
      <c r="E22" s="25"/>
      <c r="F22" s="26" t="s">
        <v>113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/>
      <c r="X22" s="23" t="s">
        <v>151</v>
      </c>
      <c r="Y22" s="25"/>
    </row>
    <row r="23" ht="30.0" customHeight="1">
      <c r="A23" s="10">
        <v>20.0</v>
      </c>
      <c r="B23" s="23" t="s">
        <v>117</v>
      </c>
      <c r="C23" s="24"/>
      <c r="D23" s="24"/>
      <c r="E23" s="25"/>
      <c r="F23" s="26" t="s">
        <v>119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/>
      <c r="X23" s="23" t="s">
        <v>156</v>
      </c>
      <c r="Y23" s="25"/>
    </row>
    <row r="24" ht="30.0" customHeight="1">
      <c r="A24" s="10">
        <v>21.0</v>
      </c>
      <c r="B24" s="23" t="s">
        <v>123</v>
      </c>
      <c r="C24" s="24"/>
      <c r="D24" s="24"/>
      <c r="E24" s="25"/>
      <c r="F24" s="26" t="s">
        <v>125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  <c r="X24" s="23" t="s">
        <v>151</v>
      </c>
      <c r="Y24" s="25"/>
    </row>
    <row r="25" ht="30.0" customHeight="1">
      <c r="A25" s="10">
        <v>22.0</v>
      </c>
      <c r="B25" s="23" t="s">
        <v>130</v>
      </c>
      <c r="C25" s="24"/>
      <c r="D25" s="24"/>
      <c r="E25" s="25"/>
      <c r="F25" s="26" t="s">
        <v>131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8"/>
      <c r="X25" s="23" t="s">
        <v>151</v>
      </c>
      <c r="Y25" s="25"/>
    </row>
    <row r="26" ht="30.0" customHeight="1">
      <c r="A26" s="10">
        <v>23.0</v>
      </c>
      <c r="B26" s="23" t="s">
        <v>136</v>
      </c>
      <c r="C26" s="24"/>
      <c r="D26" s="24"/>
      <c r="E26" s="25"/>
      <c r="F26" s="26" t="s">
        <v>137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/>
      <c r="X26" s="23" t="s">
        <v>157</v>
      </c>
      <c r="Y26" s="25"/>
    </row>
    <row r="27" ht="30.0" customHeight="1">
      <c r="A27" s="16">
        <f t="shared" ref="A27:A28" si="1">A26+1</f>
        <v>24</v>
      </c>
      <c r="B27" s="29"/>
      <c r="C27" s="30"/>
      <c r="D27" s="30"/>
      <c r="E27" s="31"/>
      <c r="F27" s="32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1"/>
      <c r="X27" s="29"/>
      <c r="Y27" s="31"/>
    </row>
    <row r="28" ht="30.0" customHeight="1">
      <c r="A28" s="16">
        <f t="shared" si="1"/>
        <v>25</v>
      </c>
      <c r="B28" s="29"/>
      <c r="C28" s="30"/>
      <c r="D28" s="30"/>
      <c r="E28" s="31"/>
      <c r="F28" s="32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1"/>
      <c r="X28" s="29"/>
      <c r="Y28" s="31"/>
    </row>
    <row r="29" ht="35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4.75" customHeight="1">
      <c r="A30" s="3" t="s">
        <v>158</v>
      </c>
    </row>
    <row r="31" ht="28.5" customHeight="1"/>
    <row r="32" ht="42.0" customHeight="1">
      <c r="A32" s="33">
        <v>1.0</v>
      </c>
      <c r="B32" s="34" t="s">
        <v>4</v>
      </c>
      <c r="C32" s="35" t="str">
        <f>B4</f>
        <v>rol</v>
      </c>
      <c r="D32" s="30"/>
      <c r="E32" s="30"/>
      <c r="F32" s="31"/>
      <c r="G32" s="34" t="s">
        <v>6</v>
      </c>
      <c r="H32" s="30"/>
      <c r="I32" s="30"/>
      <c r="J32" s="31"/>
      <c r="K32" s="36" t="str">
        <f>F4</f>
        <v>Catálogo de niveles de permiso con que un usuario opera en la Red (administrador, auxiliar, miembro, visitante).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1"/>
      <c r="X32" s="37" t="s">
        <v>159</v>
      </c>
      <c r="Y32" s="38" t="s">
        <v>160</v>
      </c>
    </row>
    <row r="33" ht="42.0" customHeight="1">
      <c r="A33" s="37" t="s">
        <v>3</v>
      </c>
      <c r="B33" s="37" t="s">
        <v>161</v>
      </c>
      <c r="C33" s="34" t="s">
        <v>162</v>
      </c>
      <c r="D33" s="30"/>
      <c r="E33" s="30"/>
      <c r="F33" s="31"/>
      <c r="G33" s="34" t="s">
        <v>163</v>
      </c>
      <c r="H33" s="30"/>
      <c r="I33" s="30"/>
      <c r="J33" s="31"/>
      <c r="K33" s="34" t="s">
        <v>164</v>
      </c>
      <c r="L33" s="30"/>
      <c r="M33" s="30"/>
      <c r="N33" s="31"/>
      <c r="O33" s="34" t="s">
        <v>165</v>
      </c>
      <c r="P33" s="30"/>
      <c r="Q33" s="31"/>
      <c r="R33" s="34" t="s">
        <v>166</v>
      </c>
      <c r="S33" s="31"/>
      <c r="T33" s="34" t="s">
        <v>167</v>
      </c>
      <c r="U33" s="31"/>
      <c r="V33" s="34" t="s">
        <v>168</v>
      </c>
      <c r="W33" s="31"/>
      <c r="X33" s="34" t="s">
        <v>169</v>
      </c>
      <c r="Y33" s="31"/>
    </row>
    <row r="34" ht="42.0" customHeight="1">
      <c r="A34" s="39">
        <v>1.0</v>
      </c>
      <c r="B34" s="40" t="s">
        <v>170</v>
      </c>
      <c r="C34" s="41" t="s">
        <v>171</v>
      </c>
      <c r="D34" s="30"/>
      <c r="E34" s="30"/>
      <c r="F34" s="31"/>
      <c r="G34" s="42" t="s">
        <v>172</v>
      </c>
      <c r="H34" s="30"/>
      <c r="I34" s="30"/>
      <c r="J34" s="31"/>
      <c r="K34" s="42" t="s">
        <v>173</v>
      </c>
      <c r="L34" s="30"/>
      <c r="M34" s="30"/>
      <c r="N34" s="31"/>
      <c r="O34" s="42" t="s">
        <v>174</v>
      </c>
      <c r="P34" s="30"/>
      <c r="Q34" s="31"/>
      <c r="R34" s="42" t="s">
        <v>175</v>
      </c>
      <c r="S34" s="31"/>
      <c r="T34" s="43"/>
      <c r="U34" s="31"/>
      <c r="V34" s="43"/>
      <c r="W34" s="31"/>
      <c r="X34" s="41" t="s">
        <v>176</v>
      </c>
      <c r="Y34" s="31"/>
    </row>
    <row r="35" ht="42.0" customHeight="1">
      <c r="A35" s="39">
        <v>2.0</v>
      </c>
      <c r="B35" s="40" t="s">
        <v>177</v>
      </c>
      <c r="C35" s="41" t="s">
        <v>178</v>
      </c>
      <c r="D35" s="30"/>
      <c r="E35" s="30"/>
      <c r="F35" s="31"/>
      <c r="G35" s="42" t="s">
        <v>179</v>
      </c>
      <c r="H35" s="30"/>
      <c r="I35" s="30"/>
      <c r="J35" s="31"/>
      <c r="K35" s="42" t="s">
        <v>180</v>
      </c>
      <c r="L35" s="30"/>
      <c r="M35" s="30"/>
      <c r="N35" s="31"/>
      <c r="O35" s="42" t="s">
        <v>174</v>
      </c>
      <c r="P35" s="30"/>
      <c r="Q35" s="31"/>
      <c r="R35" s="43"/>
      <c r="S35" s="31"/>
      <c r="T35" s="43"/>
      <c r="U35" s="31"/>
      <c r="V35" s="42" t="s">
        <v>175</v>
      </c>
      <c r="W35" s="31"/>
      <c r="X35" s="43"/>
      <c r="Y35" s="31"/>
    </row>
    <row r="36" ht="42.0" customHeight="1">
      <c r="A36" s="39">
        <v>3.0</v>
      </c>
      <c r="B36" s="40" t="s">
        <v>181</v>
      </c>
      <c r="C36" s="41" t="s">
        <v>182</v>
      </c>
      <c r="D36" s="30"/>
      <c r="E36" s="30"/>
      <c r="F36" s="31"/>
      <c r="G36" s="42" t="s">
        <v>179</v>
      </c>
      <c r="H36" s="30"/>
      <c r="I36" s="30"/>
      <c r="J36" s="31"/>
      <c r="K36" s="42" t="s">
        <v>183</v>
      </c>
      <c r="L36" s="30"/>
      <c r="M36" s="30"/>
      <c r="N36" s="31"/>
      <c r="O36" s="42" t="s">
        <v>184</v>
      </c>
      <c r="P36" s="30"/>
      <c r="Q36" s="31"/>
      <c r="R36" s="43"/>
      <c r="S36" s="31"/>
      <c r="T36" s="43"/>
      <c r="U36" s="31"/>
      <c r="V36" s="43"/>
      <c r="W36" s="31"/>
      <c r="X36" s="43"/>
      <c r="Y36" s="31"/>
    </row>
    <row r="37" ht="42.0" customHeight="1">
      <c r="A37" s="39">
        <v>4.0</v>
      </c>
      <c r="B37" s="40" t="s">
        <v>185</v>
      </c>
      <c r="C37" s="41" t="s">
        <v>186</v>
      </c>
      <c r="D37" s="30"/>
      <c r="E37" s="30"/>
      <c r="F37" s="31"/>
      <c r="G37" s="42" t="s">
        <v>59</v>
      </c>
      <c r="H37" s="30"/>
      <c r="I37" s="30"/>
      <c r="J37" s="31"/>
      <c r="K37" s="42" t="s">
        <v>187</v>
      </c>
      <c r="L37" s="30"/>
      <c r="M37" s="30"/>
      <c r="N37" s="31"/>
      <c r="O37" s="42" t="s">
        <v>174</v>
      </c>
      <c r="P37" s="30"/>
      <c r="Q37" s="31"/>
      <c r="R37" s="43"/>
      <c r="S37" s="31"/>
      <c r="T37" s="43"/>
      <c r="U37" s="31"/>
      <c r="V37" s="43"/>
      <c r="W37" s="31"/>
      <c r="X37" s="41" t="s">
        <v>188</v>
      </c>
      <c r="Y37" s="31"/>
    </row>
    <row r="38" ht="42.0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ht="42.0" customHeight="1">
      <c r="A39" s="33">
        <v>2.0</v>
      </c>
      <c r="B39" s="34" t="s">
        <v>4</v>
      </c>
      <c r="C39" s="35" t="str">
        <f>B5</f>
        <v>tipo_usuario</v>
      </c>
      <c r="D39" s="30"/>
      <c r="E39" s="30"/>
      <c r="F39" s="31"/>
      <c r="G39" s="34" t="s">
        <v>6</v>
      </c>
      <c r="H39" s="30"/>
      <c r="I39" s="30"/>
      <c r="J39" s="31"/>
      <c r="K39" s="36" t="str">
        <f>F5</f>
        <v>Catálogo del vínculo del usuario con la Institución (estudiante, docente, egresado, empleado, empresario).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1"/>
      <c r="X39" s="37" t="s">
        <v>159</v>
      </c>
      <c r="Y39" s="38" t="s">
        <v>160</v>
      </c>
    </row>
    <row r="40" ht="42.0" customHeight="1">
      <c r="A40" s="37" t="s">
        <v>3</v>
      </c>
      <c r="B40" s="37" t="s">
        <v>161</v>
      </c>
      <c r="C40" s="34" t="s">
        <v>162</v>
      </c>
      <c r="D40" s="30"/>
      <c r="E40" s="30"/>
      <c r="F40" s="31"/>
      <c r="G40" s="34" t="s">
        <v>163</v>
      </c>
      <c r="H40" s="30"/>
      <c r="I40" s="30"/>
      <c r="J40" s="31"/>
      <c r="K40" s="34" t="s">
        <v>164</v>
      </c>
      <c r="L40" s="30"/>
      <c r="M40" s="30"/>
      <c r="N40" s="31"/>
      <c r="O40" s="34" t="s">
        <v>165</v>
      </c>
      <c r="P40" s="30"/>
      <c r="Q40" s="31"/>
      <c r="R40" s="34" t="s">
        <v>166</v>
      </c>
      <c r="S40" s="31"/>
      <c r="T40" s="34" t="s">
        <v>167</v>
      </c>
      <c r="U40" s="31"/>
      <c r="V40" s="34" t="s">
        <v>168</v>
      </c>
      <c r="W40" s="31"/>
      <c r="X40" s="34" t="s">
        <v>169</v>
      </c>
      <c r="Y40" s="31"/>
    </row>
    <row r="41" ht="42.0" customHeight="1">
      <c r="A41" s="45">
        <v>1.0</v>
      </c>
      <c r="B41" s="46" t="s">
        <v>189</v>
      </c>
      <c r="C41" s="47" t="s">
        <v>190</v>
      </c>
      <c r="D41" s="30"/>
      <c r="E41" s="30"/>
      <c r="F41" s="31"/>
      <c r="G41" s="48" t="s">
        <v>172</v>
      </c>
      <c r="H41" s="30"/>
      <c r="I41" s="30"/>
      <c r="J41" s="31"/>
      <c r="K41" s="48" t="s">
        <v>173</v>
      </c>
      <c r="L41" s="30"/>
      <c r="M41" s="30"/>
      <c r="N41" s="31"/>
      <c r="O41" s="48" t="s">
        <v>174</v>
      </c>
      <c r="P41" s="30"/>
      <c r="Q41" s="31"/>
      <c r="R41" s="48" t="s">
        <v>175</v>
      </c>
      <c r="S41" s="31"/>
      <c r="T41" s="49"/>
      <c r="U41" s="31"/>
      <c r="V41" s="49"/>
      <c r="W41" s="31"/>
      <c r="X41" s="47" t="s">
        <v>176</v>
      </c>
      <c r="Y41" s="31"/>
    </row>
    <row r="42" ht="42.0" customHeight="1">
      <c r="A42" s="39">
        <v>2.0</v>
      </c>
      <c r="B42" s="40" t="s">
        <v>191</v>
      </c>
      <c r="C42" s="41" t="s">
        <v>192</v>
      </c>
      <c r="D42" s="30"/>
      <c r="E42" s="30"/>
      <c r="F42" s="31"/>
      <c r="G42" s="42" t="s">
        <v>179</v>
      </c>
      <c r="H42" s="30"/>
      <c r="I42" s="30"/>
      <c r="J42" s="31"/>
      <c r="K42" s="42" t="s">
        <v>193</v>
      </c>
      <c r="L42" s="30"/>
      <c r="M42" s="30"/>
      <c r="N42" s="31"/>
      <c r="O42" s="42" t="s">
        <v>174</v>
      </c>
      <c r="P42" s="30"/>
      <c r="Q42" s="31"/>
      <c r="R42" s="43"/>
      <c r="S42" s="31"/>
      <c r="T42" s="43"/>
      <c r="U42" s="31"/>
      <c r="V42" s="42" t="s">
        <v>175</v>
      </c>
      <c r="W42" s="31"/>
      <c r="X42" s="43"/>
      <c r="Y42" s="31"/>
    </row>
    <row r="43" ht="42.0" customHeight="1">
      <c r="A43" s="39">
        <v>3.0</v>
      </c>
      <c r="B43" s="40" t="s">
        <v>194</v>
      </c>
      <c r="C43" s="41" t="s">
        <v>195</v>
      </c>
      <c r="D43" s="30"/>
      <c r="E43" s="30"/>
      <c r="F43" s="31"/>
      <c r="G43" s="42" t="s">
        <v>179</v>
      </c>
      <c r="H43" s="30"/>
      <c r="I43" s="30"/>
      <c r="J43" s="31"/>
      <c r="K43" s="42" t="s">
        <v>183</v>
      </c>
      <c r="L43" s="30"/>
      <c r="M43" s="30"/>
      <c r="N43" s="31"/>
      <c r="O43" s="42" t="s">
        <v>184</v>
      </c>
      <c r="P43" s="30"/>
      <c r="Q43" s="31"/>
      <c r="R43" s="43"/>
      <c r="S43" s="31"/>
      <c r="T43" s="43"/>
      <c r="U43" s="31"/>
      <c r="V43" s="43"/>
      <c r="W43" s="31"/>
      <c r="X43" s="43"/>
      <c r="Y43" s="31"/>
    </row>
    <row r="44" ht="42.0" customHeight="1">
      <c r="A44" s="39">
        <v>4.0</v>
      </c>
      <c r="B44" s="40" t="s">
        <v>196</v>
      </c>
      <c r="C44" s="41" t="s">
        <v>197</v>
      </c>
      <c r="D44" s="30"/>
      <c r="E44" s="30"/>
      <c r="F44" s="31"/>
      <c r="G44" s="42" t="s">
        <v>59</v>
      </c>
      <c r="H44" s="30"/>
      <c r="I44" s="30"/>
      <c r="J44" s="31"/>
      <c r="K44" s="42" t="s">
        <v>187</v>
      </c>
      <c r="L44" s="30"/>
      <c r="M44" s="30"/>
      <c r="N44" s="31"/>
      <c r="O44" s="42" t="s">
        <v>174</v>
      </c>
      <c r="P44" s="30"/>
      <c r="Q44" s="31"/>
      <c r="R44" s="43"/>
      <c r="S44" s="31"/>
      <c r="T44" s="43"/>
      <c r="U44" s="31"/>
      <c r="V44" s="43"/>
      <c r="W44" s="31"/>
      <c r="X44" s="41" t="s">
        <v>188</v>
      </c>
      <c r="Y44" s="31"/>
    </row>
    <row r="45" ht="42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ht="42.0" customHeight="1">
      <c r="A46" s="33">
        <v>3.0</v>
      </c>
      <c r="B46" s="34" t="s">
        <v>4</v>
      </c>
      <c r="C46" s="35" t="str">
        <f>B6</f>
        <v>usuario</v>
      </c>
      <c r="D46" s="30"/>
      <c r="E46" s="30"/>
      <c r="F46" s="31"/>
      <c r="G46" s="34" t="s">
        <v>6</v>
      </c>
      <c r="H46" s="30"/>
      <c r="I46" s="30"/>
      <c r="J46" s="31"/>
      <c r="K46" s="36" t="str">
        <f>F6</f>
        <v>Persona registrada en la Red Social Pascualina; eje de toda la actividad de la plataforma.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1"/>
      <c r="X46" s="37" t="s">
        <v>159</v>
      </c>
      <c r="Y46" s="38" t="s">
        <v>160</v>
      </c>
    </row>
    <row r="47" ht="42.0" customHeight="1">
      <c r="A47" s="37" t="s">
        <v>3</v>
      </c>
      <c r="B47" s="37" t="s">
        <v>161</v>
      </c>
      <c r="C47" s="34" t="s">
        <v>162</v>
      </c>
      <c r="D47" s="30"/>
      <c r="E47" s="30"/>
      <c r="F47" s="31"/>
      <c r="G47" s="34" t="s">
        <v>163</v>
      </c>
      <c r="H47" s="30"/>
      <c r="I47" s="30"/>
      <c r="J47" s="31"/>
      <c r="K47" s="34" t="s">
        <v>164</v>
      </c>
      <c r="L47" s="30"/>
      <c r="M47" s="30"/>
      <c r="N47" s="31"/>
      <c r="O47" s="34" t="s">
        <v>165</v>
      </c>
      <c r="P47" s="30"/>
      <c r="Q47" s="31"/>
      <c r="R47" s="34" t="s">
        <v>166</v>
      </c>
      <c r="S47" s="31"/>
      <c r="T47" s="34" t="s">
        <v>167</v>
      </c>
      <c r="U47" s="31"/>
      <c r="V47" s="34" t="s">
        <v>168</v>
      </c>
      <c r="W47" s="31"/>
      <c r="X47" s="34" t="s">
        <v>169</v>
      </c>
      <c r="Y47" s="31"/>
    </row>
    <row r="48" ht="42.0" customHeight="1">
      <c r="A48" s="39">
        <v>1.0</v>
      </c>
      <c r="B48" s="40" t="s">
        <v>198</v>
      </c>
      <c r="C48" s="41" t="s">
        <v>199</v>
      </c>
      <c r="D48" s="30"/>
      <c r="E48" s="30"/>
      <c r="F48" s="31"/>
      <c r="G48" s="42" t="s">
        <v>200</v>
      </c>
      <c r="H48" s="30"/>
      <c r="I48" s="30"/>
      <c r="J48" s="31"/>
      <c r="K48" s="42" t="s">
        <v>201</v>
      </c>
      <c r="L48" s="30"/>
      <c r="M48" s="30"/>
      <c r="N48" s="31"/>
      <c r="O48" s="42" t="s">
        <v>174</v>
      </c>
      <c r="P48" s="30"/>
      <c r="Q48" s="31"/>
      <c r="R48" s="42" t="s">
        <v>175</v>
      </c>
      <c r="S48" s="31"/>
      <c r="T48" s="43"/>
      <c r="U48" s="31"/>
      <c r="V48" s="43"/>
      <c r="W48" s="31"/>
      <c r="X48" s="41" t="s">
        <v>176</v>
      </c>
      <c r="Y48" s="31"/>
    </row>
    <row r="49" ht="42.0" customHeight="1">
      <c r="A49" s="39">
        <v>2.0</v>
      </c>
      <c r="B49" s="40" t="s">
        <v>202</v>
      </c>
      <c r="C49" s="41" t="s">
        <v>203</v>
      </c>
      <c r="D49" s="30"/>
      <c r="E49" s="30"/>
      <c r="F49" s="31"/>
      <c r="G49" s="42" t="s">
        <v>27</v>
      </c>
      <c r="H49" s="30"/>
      <c r="I49" s="30"/>
      <c r="J49" s="31"/>
      <c r="K49" s="42" t="s">
        <v>204</v>
      </c>
      <c r="L49" s="30"/>
      <c r="M49" s="30"/>
      <c r="N49" s="31"/>
      <c r="O49" s="42" t="s">
        <v>174</v>
      </c>
      <c r="P49" s="30"/>
      <c r="Q49" s="31"/>
      <c r="R49" s="43"/>
      <c r="S49" s="31"/>
      <c r="T49" s="43"/>
      <c r="U49" s="31"/>
      <c r="V49" s="42" t="s">
        <v>175</v>
      </c>
      <c r="W49" s="31"/>
      <c r="X49" s="41" t="s">
        <v>205</v>
      </c>
      <c r="Y49" s="31"/>
    </row>
    <row r="50" ht="42.0" customHeight="1">
      <c r="A50" s="39">
        <v>3.0</v>
      </c>
      <c r="B50" s="40" t="s">
        <v>189</v>
      </c>
      <c r="C50" s="41" t="s">
        <v>206</v>
      </c>
      <c r="D50" s="30"/>
      <c r="E50" s="30"/>
      <c r="F50" s="31"/>
      <c r="G50" s="42" t="s">
        <v>172</v>
      </c>
      <c r="H50" s="30"/>
      <c r="I50" s="30"/>
      <c r="J50" s="31"/>
      <c r="K50" s="42" t="s">
        <v>173</v>
      </c>
      <c r="L50" s="30"/>
      <c r="M50" s="30"/>
      <c r="N50" s="31"/>
      <c r="O50" s="42" t="s">
        <v>174</v>
      </c>
      <c r="P50" s="30"/>
      <c r="Q50" s="31"/>
      <c r="R50" s="43"/>
      <c r="S50" s="31"/>
      <c r="T50" s="42" t="s">
        <v>175</v>
      </c>
      <c r="U50" s="31"/>
      <c r="V50" s="43"/>
      <c r="W50" s="31"/>
      <c r="X50" s="41" t="s">
        <v>207</v>
      </c>
      <c r="Y50" s="31"/>
    </row>
    <row r="51" ht="42.0" customHeight="1">
      <c r="A51" s="39">
        <v>4.0</v>
      </c>
      <c r="B51" s="40" t="s">
        <v>170</v>
      </c>
      <c r="C51" s="41" t="s">
        <v>208</v>
      </c>
      <c r="D51" s="30"/>
      <c r="E51" s="30"/>
      <c r="F51" s="31"/>
      <c r="G51" s="42" t="s">
        <v>172</v>
      </c>
      <c r="H51" s="30"/>
      <c r="I51" s="30"/>
      <c r="J51" s="31"/>
      <c r="K51" s="42" t="s">
        <v>173</v>
      </c>
      <c r="L51" s="30"/>
      <c r="M51" s="30"/>
      <c r="N51" s="31"/>
      <c r="O51" s="42" t="s">
        <v>174</v>
      </c>
      <c r="P51" s="30"/>
      <c r="Q51" s="31"/>
      <c r="R51" s="43"/>
      <c r="S51" s="31"/>
      <c r="T51" s="42" t="s">
        <v>175</v>
      </c>
      <c r="U51" s="31"/>
      <c r="V51" s="43"/>
      <c r="W51" s="31"/>
      <c r="X51" s="41" t="s">
        <v>209</v>
      </c>
      <c r="Y51" s="31"/>
    </row>
    <row r="52" ht="34.5" customHeight="1">
      <c r="A52" s="45">
        <v>5.0</v>
      </c>
      <c r="B52" s="46" t="s">
        <v>210</v>
      </c>
      <c r="C52" s="47" t="s">
        <v>211</v>
      </c>
      <c r="D52" s="30"/>
      <c r="E52" s="30"/>
      <c r="F52" s="31"/>
      <c r="G52" s="48" t="s">
        <v>179</v>
      </c>
      <c r="H52" s="30"/>
      <c r="I52" s="30"/>
      <c r="J52" s="31"/>
      <c r="K52" s="48" t="s">
        <v>212</v>
      </c>
      <c r="L52" s="30"/>
      <c r="M52" s="30"/>
      <c r="N52" s="31"/>
      <c r="O52" s="48" t="s">
        <v>174</v>
      </c>
      <c r="P52" s="30"/>
      <c r="Q52" s="31"/>
      <c r="R52" s="49"/>
      <c r="S52" s="31"/>
      <c r="T52" s="49"/>
      <c r="U52" s="31"/>
      <c r="V52" s="48" t="s">
        <v>175</v>
      </c>
      <c r="W52" s="31"/>
      <c r="X52" s="49"/>
      <c r="Y52" s="31"/>
    </row>
    <row r="53" ht="34.5" customHeight="1">
      <c r="A53" s="45">
        <v>6.0</v>
      </c>
      <c r="B53" s="46" t="s">
        <v>213</v>
      </c>
      <c r="C53" s="47" t="s">
        <v>214</v>
      </c>
      <c r="D53" s="30"/>
      <c r="E53" s="30"/>
      <c r="F53" s="31"/>
      <c r="G53" s="48" t="s">
        <v>179</v>
      </c>
      <c r="H53" s="30"/>
      <c r="I53" s="30"/>
      <c r="J53" s="31"/>
      <c r="K53" s="48" t="s">
        <v>215</v>
      </c>
      <c r="L53" s="30"/>
      <c r="M53" s="30"/>
      <c r="N53" s="31"/>
      <c r="O53" s="48" t="s">
        <v>174</v>
      </c>
      <c r="P53" s="30"/>
      <c r="Q53" s="31"/>
      <c r="R53" s="49"/>
      <c r="S53" s="31"/>
      <c r="T53" s="49"/>
      <c r="U53" s="31"/>
      <c r="V53" s="49"/>
      <c r="W53" s="31"/>
      <c r="X53" s="49"/>
      <c r="Y53" s="31"/>
    </row>
    <row r="54" ht="34.5" customHeight="1">
      <c r="A54" s="45">
        <v>7.0</v>
      </c>
      <c r="B54" s="46" t="s">
        <v>216</v>
      </c>
      <c r="C54" s="47" t="s">
        <v>217</v>
      </c>
      <c r="D54" s="30"/>
      <c r="E54" s="30"/>
      <c r="F54" s="31"/>
      <c r="G54" s="48" t="s">
        <v>179</v>
      </c>
      <c r="H54" s="30"/>
      <c r="I54" s="30"/>
      <c r="J54" s="31"/>
      <c r="K54" s="48" t="s">
        <v>215</v>
      </c>
      <c r="L54" s="30"/>
      <c r="M54" s="30"/>
      <c r="N54" s="31"/>
      <c r="O54" s="48" t="s">
        <v>174</v>
      </c>
      <c r="P54" s="30"/>
      <c r="Q54" s="31"/>
      <c r="R54" s="49"/>
      <c r="S54" s="31"/>
      <c r="T54" s="49"/>
      <c r="U54" s="31"/>
      <c r="V54" s="49"/>
      <c r="W54" s="31"/>
      <c r="X54" s="49"/>
      <c r="Y54" s="31"/>
    </row>
    <row r="55" ht="34.5" customHeight="1">
      <c r="A55" s="45">
        <v>8.0</v>
      </c>
      <c r="B55" s="46" t="s">
        <v>218</v>
      </c>
      <c r="C55" s="47" t="s">
        <v>219</v>
      </c>
      <c r="D55" s="30"/>
      <c r="E55" s="30"/>
      <c r="F55" s="31"/>
      <c r="G55" s="48" t="s">
        <v>179</v>
      </c>
      <c r="H55" s="30"/>
      <c r="I55" s="30"/>
      <c r="J55" s="31"/>
      <c r="K55" s="48" t="s">
        <v>220</v>
      </c>
      <c r="L55" s="30"/>
      <c r="M55" s="30"/>
      <c r="N55" s="31"/>
      <c r="O55" s="48" t="s">
        <v>174</v>
      </c>
      <c r="P55" s="30"/>
      <c r="Q55" s="31"/>
      <c r="R55" s="49"/>
      <c r="S55" s="31"/>
      <c r="T55" s="49"/>
      <c r="U55" s="31"/>
      <c r="V55" s="48" t="s">
        <v>175</v>
      </c>
      <c r="W55" s="31"/>
      <c r="X55" s="47" t="s">
        <v>221</v>
      </c>
      <c r="Y55" s="31"/>
    </row>
    <row r="56" ht="34.5" customHeight="1">
      <c r="A56" s="45">
        <v>9.0</v>
      </c>
      <c r="B56" s="46" t="s">
        <v>222</v>
      </c>
      <c r="C56" s="47" t="s">
        <v>223</v>
      </c>
      <c r="D56" s="30"/>
      <c r="E56" s="30"/>
      <c r="F56" s="31"/>
      <c r="G56" s="48" t="s">
        <v>179</v>
      </c>
      <c r="H56" s="30"/>
      <c r="I56" s="30"/>
      <c r="J56" s="31"/>
      <c r="K56" s="48" t="s">
        <v>224</v>
      </c>
      <c r="L56" s="30"/>
      <c r="M56" s="30"/>
      <c r="N56" s="31"/>
      <c r="O56" s="48" t="s">
        <v>184</v>
      </c>
      <c r="P56" s="30"/>
      <c r="Q56" s="31"/>
      <c r="R56" s="49"/>
      <c r="S56" s="31"/>
      <c r="T56" s="49"/>
      <c r="U56" s="31"/>
      <c r="V56" s="49"/>
      <c r="W56" s="31"/>
      <c r="X56" s="49"/>
      <c r="Y56" s="31"/>
    </row>
    <row r="57" ht="34.5" customHeight="1">
      <c r="A57" s="45">
        <v>10.0</v>
      </c>
      <c r="B57" s="46" t="s">
        <v>225</v>
      </c>
      <c r="C57" s="47" t="s">
        <v>226</v>
      </c>
      <c r="D57" s="30"/>
      <c r="E57" s="30"/>
      <c r="F57" s="31"/>
      <c r="G57" s="48" t="s">
        <v>82</v>
      </c>
      <c r="H57" s="30"/>
      <c r="I57" s="30"/>
      <c r="J57" s="31"/>
      <c r="K57" s="48" t="s">
        <v>201</v>
      </c>
      <c r="L57" s="30"/>
      <c r="M57" s="30"/>
      <c r="N57" s="31"/>
      <c r="O57" s="48" t="s">
        <v>184</v>
      </c>
      <c r="P57" s="30"/>
      <c r="Q57" s="31"/>
      <c r="R57" s="49"/>
      <c r="S57" s="31"/>
      <c r="T57" s="49"/>
      <c r="U57" s="31"/>
      <c r="V57" s="49"/>
      <c r="W57" s="31"/>
      <c r="X57" s="47" t="s">
        <v>227</v>
      </c>
      <c r="Y57" s="31"/>
    </row>
    <row r="58" ht="34.5" customHeight="1">
      <c r="A58" s="45">
        <v>11.0</v>
      </c>
      <c r="B58" s="46" t="s">
        <v>228</v>
      </c>
      <c r="C58" s="47" t="s">
        <v>229</v>
      </c>
      <c r="D58" s="30"/>
      <c r="E58" s="30"/>
      <c r="F58" s="31"/>
      <c r="G58" s="48" t="s">
        <v>89</v>
      </c>
      <c r="H58" s="30"/>
      <c r="I58" s="30"/>
      <c r="J58" s="31"/>
      <c r="K58" s="48" t="s">
        <v>230</v>
      </c>
      <c r="L58" s="30"/>
      <c r="M58" s="30"/>
      <c r="N58" s="31"/>
      <c r="O58" s="48" t="s">
        <v>174</v>
      </c>
      <c r="P58" s="30"/>
      <c r="Q58" s="31"/>
      <c r="R58" s="49"/>
      <c r="S58" s="31"/>
      <c r="T58" s="49"/>
      <c r="U58" s="31"/>
      <c r="V58" s="49"/>
      <c r="W58" s="31"/>
      <c r="X58" s="47" t="s">
        <v>231</v>
      </c>
      <c r="Y58" s="31"/>
    </row>
    <row r="59" ht="34.5" customHeight="1">
      <c r="A59" s="45">
        <v>12.0</v>
      </c>
      <c r="B59" s="46" t="s">
        <v>232</v>
      </c>
      <c r="C59" s="47" t="s">
        <v>233</v>
      </c>
      <c r="D59" s="30"/>
      <c r="E59" s="30"/>
      <c r="F59" s="31"/>
      <c r="G59" s="48" t="s">
        <v>179</v>
      </c>
      <c r="H59" s="30"/>
      <c r="I59" s="30"/>
      <c r="J59" s="31"/>
      <c r="K59" s="48" t="s">
        <v>234</v>
      </c>
      <c r="L59" s="30"/>
      <c r="M59" s="30"/>
      <c r="N59" s="31"/>
      <c r="O59" s="48" t="s">
        <v>174</v>
      </c>
      <c r="P59" s="30"/>
      <c r="Q59" s="31"/>
      <c r="R59" s="49"/>
      <c r="S59" s="31"/>
      <c r="T59" s="49"/>
      <c r="U59" s="31"/>
      <c r="V59" s="49"/>
      <c r="W59" s="31"/>
      <c r="X59" s="47" t="s">
        <v>235</v>
      </c>
      <c r="Y59" s="31"/>
    </row>
    <row r="60" ht="34.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ht="34.5" customHeight="1">
      <c r="A61" s="51">
        <v>4.0</v>
      </c>
      <c r="B61" s="52" t="s">
        <v>4</v>
      </c>
      <c r="C61" s="53" t="str">
        <f>B7</f>
        <v>cuenta</v>
      </c>
      <c r="D61" s="30"/>
      <c r="E61" s="30"/>
      <c r="F61" s="31"/>
      <c r="G61" s="52" t="s">
        <v>6</v>
      </c>
      <c r="H61" s="30"/>
      <c r="I61" s="30"/>
      <c r="J61" s="31"/>
      <c r="K61" s="54" t="str">
        <f>F7</f>
        <v>Credenciales y estado de acceso del usuario, separadas de sus datos personales.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1"/>
      <c r="X61" s="55" t="s">
        <v>159</v>
      </c>
      <c r="Y61" s="56" t="s">
        <v>160</v>
      </c>
    </row>
    <row r="62" ht="34.5" customHeight="1">
      <c r="A62" s="55" t="s">
        <v>3</v>
      </c>
      <c r="B62" s="55" t="s">
        <v>161</v>
      </c>
      <c r="C62" s="52" t="s">
        <v>162</v>
      </c>
      <c r="D62" s="30"/>
      <c r="E62" s="30"/>
      <c r="F62" s="31"/>
      <c r="G62" s="52" t="s">
        <v>163</v>
      </c>
      <c r="H62" s="30"/>
      <c r="I62" s="30"/>
      <c r="J62" s="31"/>
      <c r="K62" s="52" t="s">
        <v>164</v>
      </c>
      <c r="L62" s="30"/>
      <c r="M62" s="30"/>
      <c r="N62" s="31"/>
      <c r="O62" s="52" t="s">
        <v>165</v>
      </c>
      <c r="P62" s="30"/>
      <c r="Q62" s="31"/>
      <c r="R62" s="52" t="s">
        <v>166</v>
      </c>
      <c r="S62" s="31"/>
      <c r="T62" s="52" t="s">
        <v>167</v>
      </c>
      <c r="U62" s="31"/>
      <c r="V62" s="52" t="s">
        <v>168</v>
      </c>
      <c r="W62" s="31"/>
      <c r="X62" s="52" t="s">
        <v>169</v>
      </c>
      <c r="Y62" s="31"/>
    </row>
    <row r="63" ht="34.5" customHeight="1">
      <c r="A63" s="45">
        <v>1.0</v>
      </c>
      <c r="B63" s="46" t="s">
        <v>198</v>
      </c>
      <c r="C63" s="47" t="s">
        <v>236</v>
      </c>
      <c r="D63" s="30"/>
      <c r="E63" s="30"/>
      <c r="F63" s="31"/>
      <c r="G63" s="48" t="s">
        <v>200</v>
      </c>
      <c r="H63" s="30"/>
      <c r="I63" s="30"/>
      <c r="J63" s="31"/>
      <c r="K63" s="48" t="s">
        <v>201</v>
      </c>
      <c r="L63" s="30"/>
      <c r="M63" s="30"/>
      <c r="N63" s="31"/>
      <c r="O63" s="48" t="s">
        <v>174</v>
      </c>
      <c r="P63" s="30"/>
      <c r="Q63" s="31"/>
      <c r="R63" s="48" t="s">
        <v>175</v>
      </c>
      <c r="S63" s="31"/>
      <c r="T63" s="48" t="s">
        <v>175</v>
      </c>
      <c r="U63" s="31"/>
      <c r="V63" s="49"/>
      <c r="W63" s="31"/>
      <c r="X63" s="47" t="s">
        <v>237</v>
      </c>
      <c r="Y63" s="31"/>
    </row>
    <row r="64" ht="34.5" customHeight="1">
      <c r="A64" s="45">
        <v>2.0</v>
      </c>
      <c r="B64" s="46" t="s">
        <v>238</v>
      </c>
      <c r="C64" s="47" t="s">
        <v>239</v>
      </c>
      <c r="D64" s="30"/>
      <c r="E64" s="30"/>
      <c r="F64" s="31"/>
      <c r="G64" s="48" t="s">
        <v>179</v>
      </c>
      <c r="H64" s="30"/>
      <c r="I64" s="30"/>
      <c r="J64" s="31"/>
      <c r="K64" s="48" t="s">
        <v>180</v>
      </c>
      <c r="L64" s="30"/>
      <c r="M64" s="30"/>
      <c r="N64" s="31"/>
      <c r="O64" s="48" t="s">
        <v>174</v>
      </c>
      <c r="P64" s="30"/>
      <c r="Q64" s="31"/>
      <c r="R64" s="49"/>
      <c r="S64" s="31"/>
      <c r="T64" s="49"/>
      <c r="U64" s="31"/>
      <c r="V64" s="48" t="s">
        <v>175</v>
      </c>
      <c r="W64" s="31"/>
      <c r="X64" s="49"/>
      <c r="Y64" s="31"/>
    </row>
    <row r="65" ht="34.5" customHeight="1">
      <c r="A65" s="45">
        <v>3.0</v>
      </c>
      <c r="B65" s="46" t="s">
        <v>240</v>
      </c>
      <c r="C65" s="47" t="s">
        <v>241</v>
      </c>
      <c r="D65" s="30"/>
      <c r="E65" s="30"/>
      <c r="F65" s="31"/>
      <c r="G65" s="48" t="s">
        <v>179</v>
      </c>
      <c r="H65" s="30"/>
      <c r="I65" s="30"/>
      <c r="J65" s="31"/>
      <c r="K65" s="48" t="s">
        <v>183</v>
      </c>
      <c r="L65" s="30"/>
      <c r="M65" s="30"/>
      <c r="N65" s="31"/>
      <c r="O65" s="48" t="s">
        <v>174</v>
      </c>
      <c r="P65" s="30"/>
      <c r="Q65" s="31"/>
      <c r="R65" s="49"/>
      <c r="S65" s="31"/>
      <c r="T65" s="49"/>
      <c r="U65" s="31"/>
      <c r="V65" s="49"/>
      <c r="W65" s="31"/>
      <c r="X65" s="49"/>
      <c r="Y65" s="31"/>
    </row>
    <row r="66" ht="34.5" customHeight="1">
      <c r="A66" s="45">
        <v>4.0</v>
      </c>
      <c r="B66" s="46" t="s">
        <v>242</v>
      </c>
      <c r="C66" s="47" t="s">
        <v>243</v>
      </c>
      <c r="D66" s="30"/>
      <c r="E66" s="30"/>
      <c r="F66" s="31"/>
      <c r="G66" s="48" t="s">
        <v>179</v>
      </c>
      <c r="H66" s="30"/>
      <c r="I66" s="30"/>
      <c r="J66" s="31"/>
      <c r="K66" s="48" t="s">
        <v>234</v>
      </c>
      <c r="L66" s="30"/>
      <c r="M66" s="30"/>
      <c r="N66" s="31"/>
      <c r="O66" s="48" t="s">
        <v>174</v>
      </c>
      <c r="P66" s="30"/>
      <c r="Q66" s="31"/>
      <c r="R66" s="49"/>
      <c r="S66" s="31"/>
      <c r="T66" s="49"/>
      <c r="U66" s="31"/>
      <c r="V66" s="49"/>
      <c r="W66" s="31"/>
      <c r="X66" s="47" t="s">
        <v>244</v>
      </c>
      <c r="Y66" s="31"/>
    </row>
    <row r="67" ht="34.5" customHeight="1">
      <c r="A67" s="45">
        <v>5.0</v>
      </c>
      <c r="B67" s="46" t="s">
        <v>245</v>
      </c>
      <c r="C67" s="47" t="s">
        <v>246</v>
      </c>
      <c r="D67" s="30"/>
      <c r="E67" s="30"/>
      <c r="F67" s="31"/>
      <c r="G67" s="48" t="s">
        <v>89</v>
      </c>
      <c r="H67" s="30"/>
      <c r="I67" s="30"/>
      <c r="J67" s="31"/>
      <c r="K67" s="48" t="s">
        <v>230</v>
      </c>
      <c r="L67" s="30"/>
      <c r="M67" s="30"/>
      <c r="N67" s="31"/>
      <c r="O67" s="48" t="s">
        <v>184</v>
      </c>
      <c r="P67" s="30"/>
      <c r="Q67" s="31"/>
      <c r="R67" s="49"/>
      <c r="S67" s="31"/>
      <c r="T67" s="49"/>
      <c r="U67" s="31"/>
      <c r="V67" s="49"/>
      <c r="W67" s="31"/>
      <c r="X67" s="49"/>
      <c r="Y67" s="31"/>
    </row>
    <row r="68" ht="34.5" customHeight="1">
      <c r="A68" s="45">
        <v>6.0</v>
      </c>
      <c r="B68" s="46" t="s">
        <v>247</v>
      </c>
      <c r="C68" s="47" t="s">
        <v>248</v>
      </c>
      <c r="D68" s="30"/>
      <c r="E68" s="30"/>
      <c r="F68" s="31"/>
      <c r="G68" s="48" t="s">
        <v>172</v>
      </c>
      <c r="H68" s="30"/>
      <c r="I68" s="30"/>
      <c r="J68" s="31"/>
      <c r="K68" s="48" t="s">
        <v>173</v>
      </c>
      <c r="L68" s="30"/>
      <c r="M68" s="30"/>
      <c r="N68" s="31"/>
      <c r="O68" s="48" t="s">
        <v>174</v>
      </c>
      <c r="P68" s="30"/>
      <c r="Q68" s="31"/>
      <c r="R68" s="49"/>
      <c r="S68" s="31"/>
      <c r="T68" s="49"/>
      <c r="U68" s="31"/>
      <c r="V68" s="49"/>
      <c r="W68" s="31"/>
      <c r="X68" s="47" t="s">
        <v>249</v>
      </c>
      <c r="Y68" s="31"/>
    </row>
    <row r="69" ht="34.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ht="34.5" customHeight="1">
      <c r="A70" s="51">
        <v>5.0</v>
      </c>
      <c r="B70" s="52" t="s">
        <v>4</v>
      </c>
      <c r="C70" s="53" t="str">
        <f>B8</f>
        <v>grupo</v>
      </c>
      <c r="D70" s="30"/>
      <c r="E70" s="30"/>
      <c r="F70" s="31"/>
      <c r="G70" s="52" t="s">
        <v>6</v>
      </c>
      <c r="H70" s="30"/>
      <c r="I70" s="30"/>
      <c r="J70" s="31"/>
      <c r="K70" s="54" t="str">
        <f>F8</f>
        <v>Comunidad de usuarios reunida por un interés común: grupos de estudio, semilleros, hackatones, clubes.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1"/>
      <c r="X70" s="55" t="s">
        <v>159</v>
      </c>
      <c r="Y70" s="56" t="s">
        <v>160</v>
      </c>
    </row>
    <row r="71" ht="34.5" customHeight="1">
      <c r="A71" s="55" t="s">
        <v>3</v>
      </c>
      <c r="B71" s="55" t="s">
        <v>161</v>
      </c>
      <c r="C71" s="52" t="s">
        <v>162</v>
      </c>
      <c r="D71" s="30"/>
      <c r="E71" s="30"/>
      <c r="F71" s="31"/>
      <c r="G71" s="52" t="s">
        <v>163</v>
      </c>
      <c r="H71" s="30"/>
      <c r="I71" s="30"/>
      <c r="J71" s="31"/>
      <c r="K71" s="52" t="s">
        <v>164</v>
      </c>
      <c r="L71" s="30"/>
      <c r="M71" s="30"/>
      <c r="N71" s="31"/>
      <c r="O71" s="52" t="s">
        <v>165</v>
      </c>
      <c r="P71" s="30"/>
      <c r="Q71" s="31"/>
      <c r="R71" s="52" t="s">
        <v>166</v>
      </c>
      <c r="S71" s="31"/>
      <c r="T71" s="52" t="s">
        <v>167</v>
      </c>
      <c r="U71" s="31"/>
      <c r="V71" s="52" t="s">
        <v>168</v>
      </c>
      <c r="W71" s="31"/>
      <c r="X71" s="52" t="s">
        <v>169</v>
      </c>
      <c r="Y71" s="31"/>
    </row>
    <row r="72" ht="34.5" customHeight="1">
      <c r="A72" s="45">
        <v>1.0</v>
      </c>
      <c r="B72" s="46" t="s">
        <v>250</v>
      </c>
      <c r="C72" s="47" t="s">
        <v>251</v>
      </c>
      <c r="D72" s="30"/>
      <c r="E72" s="30"/>
      <c r="F72" s="31"/>
      <c r="G72" s="48" t="s">
        <v>200</v>
      </c>
      <c r="H72" s="30"/>
      <c r="I72" s="30"/>
      <c r="J72" s="31"/>
      <c r="K72" s="48" t="s">
        <v>201</v>
      </c>
      <c r="L72" s="30"/>
      <c r="M72" s="30"/>
      <c r="N72" s="31"/>
      <c r="O72" s="48" t="s">
        <v>174</v>
      </c>
      <c r="P72" s="30"/>
      <c r="Q72" s="31"/>
      <c r="R72" s="48" t="s">
        <v>175</v>
      </c>
      <c r="S72" s="31"/>
      <c r="T72" s="49"/>
      <c r="U72" s="31"/>
      <c r="V72" s="49"/>
      <c r="W72" s="31"/>
      <c r="X72" s="47" t="s">
        <v>176</v>
      </c>
      <c r="Y72" s="31"/>
    </row>
    <row r="73" ht="34.5" customHeight="1">
      <c r="A73" s="45">
        <v>2.0</v>
      </c>
      <c r="B73" s="46" t="s">
        <v>252</v>
      </c>
      <c r="C73" s="47" t="s">
        <v>253</v>
      </c>
      <c r="D73" s="30"/>
      <c r="E73" s="30"/>
      <c r="F73" s="31"/>
      <c r="G73" s="48" t="s">
        <v>179</v>
      </c>
      <c r="H73" s="30"/>
      <c r="I73" s="30"/>
      <c r="J73" s="31"/>
      <c r="K73" s="48" t="s">
        <v>254</v>
      </c>
      <c r="L73" s="30"/>
      <c r="M73" s="30"/>
      <c r="N73" s="31"/>
      <c r="O73" s="48" t="s">
        <v>174</v>
      </c>
      <c r="P73" s="30"/>
      <c r="Q73" s="31"/>
      <c r="R73" s="49"/>
      <c r="S73" s="31"/>
      <c r="T73" s="49"/>
      <c r="U73" s="31"/>
      <c r="V73" s="48" t="s">
        <v>175</v>
      </c>
      <c r="W73" s="31"/>
      <c r="X73" s="49"/>
      <c r="Y73" s="31"/>
    </row>
    <row r="74" ht="34.5" customHeight="1">
      <c r="A74" s="45">
        <v>3.0</v>
      </c>
      <c r="B74" s="46" t="s">
        <v>255</v>
      </c>
      <c r="C74" s="47" t="s">
        <v>256</v>
      </c>
      <c r="D74" s="30"/>
      <c r="E74" s="30"/>
      <c r="F74" s="31"/>
      <c r="G74" s="48" t="s">
        <v>179</v>
      </c>
      <c r="H74" s="30"/>
      <c r="I74" s="30"/>
      <c r="J74" s="31"/>
      <c r="K74" s="48" t="s">
        <v>257</v>
      </c>
      <c r="L74" s="30"/>
      <c r="M74" s="30"/>
      <c r="N74" s="31"/>
      <c r="O74" s="48" t="s">
        <v>184</v>
      </c>
      <c r="P74" s="30"/>
      <c r="Q74" s="31"/>
      <c r="R74" s="49"/>
      <c r="S74" s="31"/>
      <c r="T74" s="49"/>
      <c r="U74" s="31"/>
      <c r="V74" s="49"/>
      <c r="W74" s="31"/>
      <c r="X74" s="49"/>
      <c r="Y74" s="31"/>
    </row>
    <row r="75" ht="34.5" customHeight="1">
      <c r="A75" s="45">
        <v>4.0</v>
      </c>
      <c r="B75" s="46" t="s">
        <v>258</v>
      </c>
      <c r="C75" s="47" t="s">
        <v>259</v>
      </c>
      <c r="D75" s="30"/>
      <c r="E75" s="30"/>
      <c r="F75" s="31"/>
      <c r="G75" s="48" t="s">
        <v>82</v>
      </c>
      <c r="H75" s="30"/>
      <c r="I75" s="30"/>
      <c r="J75" s="31"/>
      <c r="K75" s="48" t="s">
        <v>201</v>
      </c>
      <c r="L75" s="30"/>
      <c r="M75" s="30"/>
      <c r="N75" s="31"/>
      <c r="O75" s="48" t="s">
        <v>174</v>
      </c>
      <c r="P75" s="30"/>
      <c r="Q75" s="31"/>
      <c r="R75" s="49"/>
      <c r="S75" s="31"/>
      <c r="T75" s="49"/>
      <c r="U75" s="31"/>
      <c r="V75" s="49"/>
      <c r="W75" s="31"/>
      <c r="X75" s="47" t="s">
        <v>260</v>
      </c>
      <c r="Y75" s="31"/>
    </row>
    <row r="76" ht="34.5" customHeight="1">
      <c r="A76" s="45">
        <v>5.0</v>
      </c>
      <c r="B76" s="46" t="s">
        <v>261</v>
      </c>
      <c r="C76" s="47" t="s">
        <v>262</v>
      </c>
      <c r="D76" s="30"/>
      <c r="E76" s="30"/>
      <c r="F76" s="31"/>
      <c r="G76" s="48" t="s">
        <v>59</v>
      </c>
      <c r="H76" s="30"/>
      <c r="I76" s="30"/>
      <c r="J76" s="31"/>
      <c r="K76" s="48" t="s">
        <v>187</v>
      </c>
      <c r="L76" s="30"/>
      <c r="M76" s="30"/>
      <c r="N76" s="31"/>
      <c r="O76" s="48" t="s">
        <v>174</v>
      </c>
      <c r="P76" s="30"/>
      <c r="Q76" s="31"/>
      <c r="R76" s="49"/>
      <c r="S76" s="31"/>
      <c r="T76" s="49"/>
      <c r="U76" s="31"/>
      <c r="V76" s="49"/>
      <c r="W76" s="31"/>
      <c r="X76" s="47" t="s">
        <v>263</v>
      </c>
      <c r="Y76" s="31"/>
    </row>
    <row r="77" ht="34.5" customHeight="1">
      <c r="A77" s="45">
        <v>6.0</v>
      </c>
      <c r="B77" s="46" t="s">
        <v>264</v>
      </c>
      <c r="C77" s="47" t="s">
        <v>265</v>
      </c>
      <c r="D77" s="30"/>
      <c r="E77" s="30"/>
      <c r="F77" s="31"/>
      <c r="G77" s="48" t="s">
        <v>179</v>
      </c>
      <c r="H77" s="30"/>
      <c r="I77" s="30"/>
      <c r="J77" s="31"/>
      <c r="K77" s="48" t="s">
        <v>266</v>
      </c>
      <c r="L77" s="30"/>
      <c r="M77" s="30"/>
      <c r="N77" s="31"/>
      <c r="O77" s="48" t="s">
        <v>174</v>
      </c>
      <c r="P77" s="30"/>
      <c r="Q77" s="31"/>
      <c r="R77" s="49"/>
      <c r="S77" s="31"/>
      <c r="T77" s="49"/>
      <c r="U77" s="31"/>
      <c r="V77" s="49"/>
      <c r="W77" s="31"/>
      <c r="X77" s="47" t="s">
        <v>267</v>
      </c>
      <c r="Y77" s="31"/>
    </row>
    <row r="78" ht="34.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ht="34.5" customHeight="1">
      <c r="A79" s="51">
        <v>6.0</v>
      </c>
      <c r="B79" s="52" t="s">
        <v>4</v>
      </c>
      <c r="C79" s="53" t="str">
        <f>B9</f>
        <v>perfil</v>
      </c>
      <c r="D79" s="30"/>
      <c r="E79" s="30"/>
      <c r="F79" s="31"/>
      <c r="G79" s="52" t="s">
        <v>6</v>
      </c>
      <c r="H79" s="30"/>
      <c r="I79" s="30"/>
      <c r="J79" s="31"/>
      <c r="K79" s="54" t="str">
        <f>F9</f>
        <v>Información pública e intereses de un usuario o de un grupo; incluye atributos semiestructurados JSONB.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1"/>
      <c r="X79" s="55" t="s">
        <v>159</v>
      </c>
      <c r="Y79" s="56" t="s">
        <v>160</v>
      </c>
    </row>
    <row r="80" ht="34.5" customHeight="1">
      <c r="A80" s="55" t="s">
        <v>3</v>
      </c>
      <c r="B80" s="55" t="s">
        <v>161</v>
      </c>
      <c r="C80" s="52" t="s">
        <v>162</v>
      </c>
      <c r="D80" s="30"/>
      <c r="E80" s="30"/>
      <c r="F80" s="31"/>
      <c r="G80" s="52" t="s">
        <v>163</v>
      </c>
      <c r="H80" s="30"/>
      <c r="I80" s="30"/>
      <c r="J80" s="31"/>
      <c r="K80" s="52" t="s">
        <v>164</v>
      </c>
      <c r="L80" s="30"/>
      <c r="M80" s="30"/>
      <c r="N80" s="31"/>
      <c r="O80" s="52" t="s">
        <v>165</v>
      </c>
      <c r="P80" s="30"/>
      <c r="Q80" s="31"/>
      <c r="R80" s="52" t="s">
        <v>166</v>
      </c>
      <c r="S80" s="31"/>
      <c r="T80" s="52" t="s">
        <v>167</v>
      </c>
      <c r="U80" s="31"/>
      <c r="V80" s="52" t="s">
        <v>168</v>
      </c>
      <c r="W80" s="31"/>
      <c r="X80" s="52" t="s">
        <v>169</v>
      </c>
      <c r="Y80" s="31"/>
    </row>
    <row r="81" ht="34.5" customHeight="1">
      <c r="A81" s="45">
        <v>1.0</v>
      </c>
      <c r="B81" s="46" t="s">
        <v>268</v>
      </c>
      <c r="C81" s="47" t="s">
        <v>269</v>
      </c>
      <c r="D81" s="30"/>
      <c r="E81" s="30"/>
      <c r="F81" s="31"/>
      <c r="G81" s="48" t="s">
        <v>200</v>
      </c>
      <c r="H81" s="30"/>
      <c r="I81" s="30"/>
      <c r="J81" s="31"/>
      <c r="K81" s="48" t="s">
        <v>201</v>
      </c>
      <c r="L81" s="30"/>
      <c r="M81" s="30"/>
      <c r="N81" s="31"/>
      <c r="O81" s="48" t="s">
        <v>174</v>
      </c>
      <c r="P81" s="30"/>
      <c r="Q81" s="31"/>
      <c r="R81" s="48" t="s">
        <v>175</v>
      </c>
      <c r="S81" s="31"/>
      <c r="T81" s="49"/>
      <c r="U81" s="31"/>
      <c r="V81" s="49"/>
      <c r="W81" s="31"/>
      <c r="X81" s="47" t="s">
        <v>176</v>
      </c>
      <c r="Y81" s="31"/>
    </row>
    <row r="82" ht="34.5" customHeight="1">
      <c r="A82" s="45">
        <v>2.0</v>
      </c>
      <c r="B82" s="46" t="s">
        <v>198</v>
      </c>
      <c r="C82" s="47" t="s">
        <v>270</v>
      </c>
      <c r="D82" s="30"/>
      <c r="E82" s="30"/>
      <c r="F82" s="31"/>
      <c r="G82" s="48" t="s">
        <v>200</v>
      </c>
      <c r="H82" s="30"/>
      <c r="I82" s="30"/>
      <c r="J82" s="31"/>
      <c r="K82" s="48" t="s">
        <v>201</v>
      </c>
      <c r="L82" s="30"/>
      <c r="M82" s="30"/>
      <c r="N82" s="31"/>
      <c r="O82" s="48" t="s">
        <v>184</v>
      </c>
      <c r="P82" s="30"/>
      <c r="Q82" s="31"/>
      <c r="R82" s="49"/>
      <c r="S82" s="31"/>
      <c r="T82" s="48" t="s">
        <v>175</v>
      </c>
      <c r="U82" s="31"/>
      <c r="V82" s="48" t="s">
        <v>175</v>
      </c>
      <c r="W82" s="31"/>
      <c r="X82" s="47" t="s">
        <v>271</v>
      </c>
      <c r="Y82" s="31"/>
    </row>
    <row r="83" ht="34.5" customHeight="1">
      <c r="A83" s="45">
        <v>3.0</v>
      </c>
      <c r="B83" s="46" t="s">
        <v>250</v>
      </c>
      <c r="C83" s="47" t="s">
        <v>272</v>
      </c>
      <c r="D83" s="30"/>
      <c r="E83" s="30"/>
      <c r="F83" s="31"/>
      <c r="G83" s="48" t="s">
        <v>200</v>
      </c>
      <c r="H83" s="30"/>
      <c r="I83" s="30"/>
      <c r="J83" s="31"/>
      <c r="K83" s="48" t="s">
        <v>201</v>
      </c>
      <c r="L83" s="30"/>
      <c r="M83" s="30"/>
      <c r="N83" s="31"/>
      <c r="O83" s="48" t="s">
        <v>184</v>
      </c>
      <c r="P83" s="30"/>
      <c r="Q83" s="31"/>
      <c r="R83" s="49"/>
      <c r="S83" s="31"/>
      <c r="T83" s="48" t="s">
        <v>175</v>
      </c>
      <c r="U83" s="31"/>
      <c r="V83" s="48" t="s">
        <v>175</v>
      </c>
      <c r="W83" s="31"/>
      <c r="X83" s="47" t="s">
        <v>273</v>
      </c>
      <c r="Y83" s="31"/>
    </row>
    <row r="84" ht="34.5" customHeight="1">
      <c r="A84" s="45">
        <v>4.0</v>
      </c>
      <c r="B84" s="46" t="s">
        <v>274</v>
      </c>
      <c r="C84" s="47" t="s">
        <v>275</v>
      </c>
      <c r="D84" s="30"/>
      <c r="E84" s="30"/>
      <c r="F84" s="31"/>
      <c r="G84" s="48" t="s">
        <v>179</v>
      </c>
      <c r="H84" s="30"/>
      <c r="I84" s="30"/>
      <c r="J84" s="31"/>
      <c r="K84" s="48" t="s">
        <v>276</v>
      </c>
      <c r="L84" s="30"/>
      <c r="M84" s="30"/>
      <c r="N84" s="31"/>
      <c r="O84" s="48" t="s">
        <v>174</v>
      </c>
      <c r="P84" s="30"/>
      <c r="Q84" s="31"/>
      <c r="R84" s="49"/>
      <c r="S84" s="31"/>
      <c r="T84" s="49"/>
      <c r="U84" s="31"/>
      <c r="V84" s="49"/>
      <c r="W84" s="31"/>
      <c r="X84" s="49"/>
      <c r="Y84" s="31"/>
    </row>
    <row r="85" ht="34.5" customHeight="1">
      <c r="A85" s="45">
        <v>5.0</v>
      </c>
      <c r="B85" s="46" t="s">
        <v>277</v>
      </c>
      <c r="C85" s="47" t="s">
        <v>278</v>
      </c>
      <c r="D85" s="30"/>
      <c r="E85" s="30"/>
      <c r="F85" s="31"/>
      <c r="G85" s="48" t="s">
        <v>179</v>
      </c>
      <c r="H85" s="30"/>
      <c r="I85" s="30"/>
      <c r="J85" s="31"/>
      <c r="K85" s="48" t="s">
        <v>276</v>
      </c>
      <c r="L85" s="30"/>
      <c r="M85" s="30"/>
      <c r="N85" s="31"/>
      <c r="O85" s="48" t="s">
        <v>184</v>
      </c>
      <c r="P85" s="30"/>
      <c r="Q85" s="31"/>
      <c r="R85" s="49"/>
      <c r="S85" s="31"/>
      <c r="T85" s="49"/>
      <c r="U85" s="31"/>
      <c r="V85" s="49"/>
      <c r="W85" s="31"/>
      <c r="X85" s="49"/>
      <c r="Y85" s="31"/>
    </row>
    <row r="86" ht="34.5" customHeight="1">
      <c r="A86" s="45">
        <v>6.0</v>
      </c>
      <c r="B86" s="46" t="s">
        <v>279</v>
      </c>
      <c r="C86" s="47" t="s">
        <v>280</v>
      </c>
      <c r="D86" s="30"/>
      <c r="E86" s="30"/>
      <c r="F86" s="31"/>
      <c r="G86" s="48" t="s">
        <v>179</v>
      </c>
      <c r="H86" s="30"/>
      <c r="I86" s="30"/>
      <c r="J86" s="31"/>
      <c r="K86" s="48" t="s">
        <v>257</v>
      </c>
      <c r="L86" s="30"/>
      <c r="M86" s="30"/>
      <c r="N86" s="31"/>
      <c r="O86" s="48" t="s">
        <v>184</v>
      </c>
      <c r="P86" s="30"/>
      <c r="Q86" s="31"/>
      <c r="R86" s="49"/>
      <c r="S86" s="31"/>
      <c r="T86" s="49"/>
      <c r="U86" s="31"/>
      <c r="V86" s="49"/>
      <c r="W86" s="31"/>
      <c r="X86" s="49"/>
      <c r="Y86" s="31"/>
    </row>
    <row r="87" ht="34.5" customHeight="1">
      <c r="A87" s="45">
        <v>7.0</v>
      </c>
      <c r="B87" s="46" t="s">
        <v>281</v>
      </c>
      <c r="C87" s="47" t="s">
        <v>282</v>
      </c>
      <c r="D87" s="30"/>
      <c r="E87" s="30"/>
      <c r="F87" s="31"/>
      <c r="G87" s="48" t="s">
        <v>146</v>
      </c>
      <c r="H87" s="30"/>
      <c r="I87" s="30"/>
      <c r="J87" s="31"/>
      <c r="K87" s="48" t="s">
        <v>101</v>
      </c>
      <c r="L87" s="30"/>
      <c r="M87" s="30"/>
      <c r="N87" s="31"/>
      <c r="O87" s="48" t="s">
        <v>184</v>
      </c>
      <c r="P87" s="30"/>
      <c r="Q87" s="31"/>
      <c r="R87" s="49"/>
      <c r="S87" s="31"/>
      <c r="T87" s="49"/>
      <c r="U87" s="31"/>
      <c r="V87" s="49"/>
      <c r="W87" s="31"/>
      <c r="X87" s="49"/>
      <c r="Y87" s="31"/>
    </row>
    <row r="88" ht="34.5" customHeight="1">
      <c r="A88" s="45">
        <v>8.0</v>
      </c>
      <c r="B88" s="46" t="s">
        <v>283</v>
      </c>
      <c r="C88" s="47" t="s">
        <v>284</v>
      </c>
      <c r="D88" s="30"/>
      <c r="E88" s="30"/>
      <c r="F88" s="31"/>
      <c r="G88" s="48" t="s">
        <v>179</v>
      </c>
      <c r="H88" s="30"/>
      <c r="I88" s="30"/>
      <c r="J88" s="31"/>
      <c r="K88" s="48" t="s">
        <v>183</v>
      </c>
      <c r="L88" s="30"/>
      <c r="M88" s="30"/>
      <c r="N88" s="31"/>
      <c r="O88" s="48" t="s">
        <v>184</v>
      </c>
      <c r="P88" s="30"/>
      <c r="Q88" s="31"/>
      <c r="R88" s="49"/>
      <c r="S88" s="31"/>
      <c r="T88" s="49"/>
      <c r="U88" s="31"/>
      <c r="V88" s="49"/>
      <c r="W88" s="31"/>
      <c r="X88" s="49"/>
      <c r="Y88" s="31"/>
    </row>
    <row r="89" ht="34.5" customHeight="1">
      <c r="A89" s="45">
        <v>9.0</v>
      </c>
      <c r="B89" s="46" t="s">
        <v>285</v>
      </c>
      <c r="C89" s="47" t="s">
        <v>286</v>
      </c>
      <c r="D89" s="30"/>
      <c r="E89" s="30"/>
      <c r="F89" s="31"/>
      <c r="G89" s="48" t="s">
        <v>89</v>
      </c>
      <c r="H89" s="30"/>
      <c r="I89" s="30"/>
      <c r="J89" s="31"/>
      <c r="K89" s="48" t="s">
        <v>230</v>
      </c>
      <c r="L89" s="30"/>
      <c r="M89" s="30"/>
      <c r="N89" s="31"/>
      <c r="O89" s="48" t="s">
        <v>174</v>
      </c>
      <c r="P89" s="30"/>
      <c r="Q89" s="31"/>
      <c r="R89" s="49"/>
      <c r="S89" s="31"/>
      <c r="T89" s="49"/>
      <c r="U89" s="31"/>
      <c r="V89" s="49"/>
      <c r="W89" s="31"/>
      <c r="X89" s="47" t="s">
        <v>231</v>
      </c>
      <c r="Y89" s="31"/>
    </row>
    <row r="90" ht="34.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ht="34.5" customHeight="1">
      <c r="A91" s="51">
        <v>7.0</v>
      </c>
      <c r="B91" s="52" t="s">
        <v>4</v>
      </c>
      <c r="C91" s="53" t="str">
        <f>B10</f>
        <v>grupo_usuario</v>
      </c>
      <c r="D91" s="30"/>
      <c r="E91" s="30"/>
      <c r="F91" s="31"/>
      <c r="G91" s="52" t="s">
        <v>6</v>
      </c>
      <c r="H91" s="30"/>
      <c r="I91" s="30"/>
      <c r="J91" s="31"/>
      <c r="K91" s="54" t="str">
        <f>F10</f>
        <v>Membresía de usuarios en grupos (N:M), con estado de solicitud y rol dentro del grupo.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1"/>
      <c r="X91" s="55" t="s">
        <v>159</v>
      </c>
      <c r="Y91" s="56" t="s">
        <v>160</v>
      </c>
    </row>
    <row r="92" ht="34.5" customHeight="1">
      <c r="A92" s="55" t="s">
        <v>3</v>
      </c>
      <c r="B92" s="55" t="s">
        <v>161</v>
      </c>
      <c r="C92" s="52" t="s">
        <v>162</v>
      </c>
      <c r="D92" s="30"/>
      <c r="E92" s="30"/>
      <c r="F92" s="31"/>
      <c r="G92" s="52" t="s">
        <v>163</v>
      </c>
      <c r="H92" s="30"/>
      <c r="I92" s="30"/>
      <c r="J92" s="31"/>
      <c r="K92" s="52" t="s">
        <v>164</v>
      </c>
      <c r="L92" s="30"/>
      <c r="M92" s="30"/>
      <c r="N92" s="31"/>
      <c r="O92" s="52" t="s">
        <v>165</v>
      </c>
      <c r="P92" s="30"/>
      <c r="Q92" s="31"/>
      <c r="R92" s="52" t="s">
        <v>166</v>
      </c>
      <c r="S92" s="31"/>
      <c r="T92" s="52" t="s">
        <v>167</v>
      </c>
      <c r="U92" s="31"/>
      <c r="V92" s="52" t="s">
        <v>168</v>
      </c>
      <c r="W92" s="31"/>
      <c r="X92" s="52" t="s">
        <v>169</v>
      </c>
      <c r="Y92" s="31"/>
    </row>
    <row r="93" ht="34.5" customHeight="1">
      <c r="A93" s="45">
        <v>1.0</v>
      </c>
      <c r="B93" s="46" t="s">
        <v>250</v>
      </c>
      <c r="C93" s="47" t="s">
        <v>287</v>
      </c>
      <c r="D93" s="30"/>
      <c r="E93" s="30"/>
      <c r="F93" s="31"/>
      <c r="G93" s="48" t="s">
        <v>200</v>
      </c>
      <c r="H93" s="30"/>
      <c r="I93" s="30"/>
      <c r="J93" s="31"/>
      <c r="K93" s="48" t="s">
        <v>201</v>
      </c>
      <c r="L93" s="30"/>
      <c r="M93" s="30"/>
      <c r="N93" s="31"/>
      <c r="O93" s="48" t="s">
        <v>174</v>
      </c>
      <c r="P93" s="30"/>
      <c r="Q93" s="31"/>
      <c r="R93" s="48" t="s">
        <v>175</v>
      </c>
      <c r="S93" s="31"/>
      <c r="T93" s="48" t="s">
        <v>175</v>
      </c>
      <c r="U93" s="31"/>
      <c r="V93" s="49"/>
      <c r="W93" s="31"/>
      <c r="X93" s="47" t="s">
        <v>288</v>
      </c>
      <c r="Y93" s="31"/>
    </row>
    <row r="94" ht="34.5" customHeight="1">
      <c r="A94" s="45">
        <v>2.0</v>
      </c>
      <c r="B94" s="46" t="s">
        <v>198</v>
      </c>
      <c r="C94" s="47" t="s">
        <v>289</v>
      </c>
      <c r="D94" s="30"/>
      <c r="E94" s="30"/>
      <c r="F94" s="31"/>
      <c r="G94" s="48" t="s">
        <v>200</v>
      </c>
      <c r="H94" s="30"/>
      <c r="I94" s="30"/>
      <c r="J94" s="31"/>
      <c r="K94" s="48" t="s">
        <v>201</v>
      </c>
      <c r="L94" s="30"/>
      <c r="M94" s="30"/>
      <c r="N94" s="31"/>
      <c r="O94" s="48" t="s">
        <v>174</v>
      </c>
      <c r="P94" s="30"/>
      <c r="Q94" s="31"/>
      <c r="R94" s="48" t="s">
        <v>175</v>
      </c>
      <c r="S94" s="31"/>
      <c r="T94" s="48" t="s">
        <v>175</v>
      </c>
      <c r="U94" s="31"/>
      <c r="V94" s="49"/>
      <c r="W94" s="31"/>
      <c r="X94" s="47" t="s">
        <v>237</v>
      </c>
      <c r="Y94" s="31"/>
    </row>
    <row r="95" ht="34.5" customHeight="1">
      <c r="A95" s="45">
        <v>3.0</v>
      </c>
      <c r="B95" s="46" t="s">
        <v>290</v>
      </c>
      <c r="C95" s="47" t="s">
        <v>291</v>
      </c>
      <c r="D95" s="30"/>
      <c r="E95" s="30"/>
      <c r="F95" s="31"/>
      <c r="G95" s="48" t="s">
        <v>89</v>
      </c>
      <c r="H95" s="30"/>
      <c r="I95" s="30"/>
      <c r="J95" s="31"/>
      <c r="K95" s="48" t="s">
        <v>230</v>
      </c>
      <c r="L95" s="30"/>
      <c r="M95" s="30"/>
      <c r="N95" s="31"/>
      <c r="O95" s="48" t="s">
        <v>174</v>
      </c>
      <c r="P95" s="30"/>
      <c r="Q95" s="31"/>
      <c r="R95" s="49"/>
      <c r="S95" s="31"/>
      <c r="T95" s="49"/>
      <c r="U95" s="31"/>
      <c r="V95" s="49"/>
      <c r="W95" s="31"/>
      <c r="X95" s="47" t="s">
        <v>231</v>
      </c>
      <c r="Y95" s="31"/>
    </row>
    <row r="96" ht="34.5" customHeight="1">
      <c r="A96" s="45">
        <v>4.0</v>
      </c>
      <c r="B96" s="46" t="s">
        <v>292</v>
      </c>
      <c r="C96" s="47" t="s">
        <v>293</v>
      </c>
      <c r="D96" s="30"/>
      <c r="E96" s="30"/>
      <c r="F96" s="31"/>
      <c r="G96" s="48" t="s">
        <v>179</v>
      </c>
      <c r="H96" s="30"/>
      <c r="I96" s="30"/>
      <c r="J96" s="31"/>
      <c r="K96" s="48" t="s">
        <v>234</v>
      </c>
      <c r="L96" s="30"/>
      <c r="M96" s="30"/>
      <c r="N96" s="31"/>
      <c r="O96" s="48" t="s">
        <v>174</v>
      </c>
      <c r="P96" s="30"/>
      <c r="Q96" s="31"/>
      <c r="R96" s="49"/>
      <c r="S96" s="31"/>
      <c r="T96" s="49"/>
      <c r="U96" s="31"/>
      <c r="V96" s="49"/>
      <c r="W96" s="31"/>
      <c r="X96" s="47" t="s">
        <v>294</v>
      </c>
      <c r="Y96" s="31"/>
    </row>
    <row r="97" ht="34.5" customHeight="1">
      <c r="A97" s="45">
        <v>5.0</v>
      </c>
      <c r="B97" s="46" t="s">
        <v>295</v>
      </c>
      <c r="C97" s="47" t="s">
        <v>296</v>
      </c>
      <c r="D97" s="30"/>
      <c r="E97" s="30"/>
      <c r="F97" s="31"/>
      <c r="G97" s="48" t="s">
        <v>179</v>
      </c>
      <c r="H97" s="30"/>
      <c r="I97" s="30"/>
      <c r="J97" s="31"/>
      <c r="K97" s="48" t="s">
        <v>224</v>
      </c>
      <c r="L97" s="30"/>
      <c r="M97" s="30"/>
      <c r="N97" s="31"/>
      <c r="O97" s="48" t="s">
        <v>174</v>
      </c>
      <c r="P97" s="30"/>
      <c r="Q97" s="31"/>
      <c r="R97" s="49"/>
      <c r="S97" s="31"/>
      <c r="T97" s="49"/>
      <c r="U97" s="31"/>
      <c r="V97" s="49"/>
      <c r="W97" s="31"/>
      <c r="X97" s="47" t="s">
        <v>297</v>
      </c>
      <c r="Y97" s="31"/>
    </row>
    <row r="98" ht="34.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ht="34.5" customHeight="1">
      <c r="A99" s="51">
        <v>8.0</v>
      </c>
      <c r="B99" s="52" t="s">
        <v>4</v>
      </c>
      <c r="C99" s="53" t="str">
        <f>B11</f>
        <v>usuario_sigue_usuario</v>
      </c>
      <c r="D99" s="30"/>
      <c r="E99" s="30"/>
      <c r="F99" s="31"/>
      <c r="G99" s="52" t="s">
        <v>6</v>
      </c>
      <c r="H99" s="30"/>
      <c r="I99" s="30"/>
      <c r="J99" s="31"/>
      <c r="K99" s="54" t="str">
        <f>F11</f>
        <v>Relación recursiva de seguimiento entre usuarios (seguidor -&gt; seguido).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1"/>
      <c r="X99" s="55" t="s">
        <v>159</v>
      </c>
      <c r="Y99" s="56" t="s">
        <v>160</v>
      </c>
    </row>
    <row r="100" ht="34.5" customHeight="1">
      <c r="A100" s="55" t="s">
        <v>3</v>
      </c>
      <c r="B100" s="55" t="s">
        <v>161</v>
      </c>
      <c r="C100" s="52" t="s">
        <v>162</v>
      </c>
      <c r="D100" s="30"/>
      <c r="E100" s="30"/>
      <c r="F100" s="31"/>
      <c r="G100" s="52" t="s">
        <v>163</v>
      </c>
      <c r="H100" s="30"/>
      <c r="I100" s="30"/>
      <c r="J100" s="31"/>
      <c r="K100" s="52" t="s">
        <v>164</v>
      </c>
      <c r="L100" s="30"/>
      <c r="M100" s="30"/>
      <c r="N100" s="31"/>
      <c r="O100" s="52" t="s">
        <v>165</v>
      </c>
      <c r="P100" s="30"/>
      <c r="Q100" s="31"/>
      <c r="R100" s="52" t="s">
        <v>166</v>
      </c>
      <c r="S100" s="31"/>
      <c r="T100" s="52" t="s">
        <v>167</v>
      </c>
      <c r="U100" s="31"/>
      <c r="V100" s="52" t="s">
        <v>168</v>
      </c>
      <c r="W100" s="31"/>
      <c r="X100" s="52" t="s">
        <v>169</v>
      </c>
      <c r="Y100" s="31"/>
    </row>
    <row r="101" ht="34.5" customHeight="1">
      <c r="A101" s="45">
        <v>1.0</v>
      </c>
      <c r="B101" s="46" t="s">
        <v>298</v>
      </c>
      <c r="C101" s="47" t="s">
        <v>299</v>
      </c>
      <c r="D101" s="30"/>
      <c r="E101" s="30"/>
      <c r="F101" s="31"/>
      <c r="G101" s="48" t="s">
        <v>200</v>
      </c>
      <c r="H101" s="30"/>
      <c r="I101" s="30"/>
      <c r="J101" s="31"/>
      <c r="K101" s="48" t="s">
        <v>201</v>
      </c>
      <c r="L101" s="30"/>
      <c r="M101" s="30"/>
      <c r="N101" s="31"/>
      <c r="O101" s="48" t="s">
        <v>174</v>
      </c>
      <c r="P101" s="30"/>
      <c r="Q101" s="31"/>
      <c r="R101" s="48" t="s">
        <v>175</v>
      </c>
      <c r="S101" s="31"/>
      <c r="T101" s="48" t="s">
        <v>175</v>
      </c>
      <c r="U101" s="31"/>
      <c r="V101" s="49"/>
      <c r="W101" s="31"/>
      <c r="X101" s="47" t="s">
        <v>300</v>
      </c>
      <c r="Y101" s="31"/>
    </row>
    <row r="102" ht="34.5" customHeight="1">
      <c r="A102" s="45">
        <v>2.0</v>
      </c>
      <c r="B102" s="46" t="s">
        <v>301</v>
      </c>
      <c r="C102" s="47" t="s">
        <v>302</v>
      </c>
      <c r="D102" s="30"/>
      <c r="E102" s="30"/>
      <c r="F102" s="31"/>
      <c r="G102" s="48" t="s">
        <v>200</v>
      </c>
      <c r="H102" s="30"/>
      <c r="I102" s="30"/>
      <c r="J102" s="31"/>
      <c r="K102" s="48" t="s">
        <v>201</v>
      </c>
      <c r="L102" s="30"/>
      <c r="M102" s="30"/>
      <c r="N102" s="31"/>
      <c r="O102" s="48" t="s">
        <v>174</v>
      </c>
      <c r="P102" s="30"/>
      <c r="Q102" s="31"/>
      <c r="R102" s="48" t="s">
        <v>175</v>
      </c>
      <c r="S102" s="31"/>
      <c r="T102" s="48" t="s">
        <v>175</v>
      </c>
      <c r="U102" s="31"/>
      <c r="V102" s="49"/>
      <c r="W102" s="31"/>
      <c r="X102" s="47" t="s">
        <v>300</v>
      </c>
      <c r="Y102" s="31"/>
    </row>
    <row r="103" ht="34.5" customHeight="1">
      <c r="A103" s="45">
        <v>3.0</v>
      </c>
      <c r="B103" s="46" t="s">
        <v>303</v>
      </c>
      <c r="C103" s="47" t="s">
        <v>304</v>
      </c>
      <c r="D103" s="30"/>
      <c r="E103" s="30"/>
      <c r="F103" s="31"/>
      <c r="G103" s="48" t="s">
        <v>89</v>
      </c>
      <c r="H103" s="30"/>
      <c r="I103" s="30"/>
      <c r="J103" s="31"/>
      <c r="K103" s="48" t="s">
        <v>230</v>
      </c>
      <c r="L103" s="30"/>
      <c r="M103" s="30"/>
      <c r="N103" s="31"/>
      <c r="O103" s="48" t="s">
        <v>174</v>
      </c>
      <c r="P103" s="30"/>
      <c r="Q103" s="31"/>
      <c r="R103" s="49"/>
      <c r="S103" s="31"/>
      <c r="T103" s="49"/>
      <c r="U103" s="31"/>
      <c r="V103" s="49"/>
      <c r="W103" s="31"/>
      <c r="X103" s="47" t="s">
        <v>231</v>
      </c>
      <c r="Y103" s="31"/>
    </row>
    <row r="104" ht="34.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ht="34.5" customHeight="1">
      <c r="A105" s="51">
        <v>9.0</v>
      </c>
      <c r="B105" s="52" t="s">
        <v>4</v>
      </c>
      <c r="C105" s="53" t="str">
        <f>B12</f>
        <v>publicacion</v>
      </c>
      <c r="D105" s="30"/>
      <c r="E105" s="30"/>
      <c r="F105" s="31"/>
      <c r="G105" s="52" t="s">
        <v>6</v>
      </c>
      <c r="H105" s="30"/>
      <c r="I105" s="30"/>
      <c r="J105" s="31"/>
      <c r="K105" s="54" t="str">
        <f>F12</f>
        <v>Contenido que un usuario comparte en la Red, opcionalmente dentro de un grupo.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1"/>
      <c r="X105" s="55" t="s">
        <v>159</v>
      </c>
      <c r="Y105" s="56" t="s">
        <v>160</v>
      </c>
    </row>
    <row r="106" ht="34.5" customHeight="1">
      <c r="A106" s="55" t="s">
        <v>3</v>
      </c>
      <c r="B106" s="55" t="s">
        <v>161</v>
      </c>
      <c r="C106" s="52" t="s">
        <v>162</v>
      </c>
      <c r="D106" s="30"/>
      <c r="E106" s="30"/>
      <c r="F106" s="31"/>
      <c r="G106" s="52" t="s">
        <v>163</v>
      </c>
      <c r="H106" s="30"/>
      <c r="I106" s="30"/>
      <c r="J106" s="31"/>
      <c r="K106" s="52" t="s">
        <v>164</v>
      </c>
      <c r="L106" s="30"/>
      <c r="M106" s="30"/>
      <c r="N106" s="31"/>
      <c r="O106" s="52" t="s">
        <v>165</v>
      </c>
      <c r="P106" s="30"/>
      <c r="Q106" s="31"/>
      <c r="R106" s="52" t="s">
        <v>166</v>
      </c>
      <c r="S106" s="31"/>
      <c r="T106" s="52" t="s">
        <v>167</v>
      </c>
      <c r="U106" s="31"/>
      <c r="V106" s="52" t="s">
        <v>168</v>
      </c>
      <c r="W106" s="31"/>
      <c r="X106" s="52" t="s">
        <v>169</v>
      </c>
      <c r="Y106" s="31"/>
    </row>
    <row r="107" ht="34.5" customHeight="1">
      <c r="A107" s="45">
        <v>1.0</v>
      </c>
      <c r="B107" s="46" t="s">
        <v>305</v>
      </c>
      <c r="C107" s="47" t="s">
        <v>306</v>
      </c>
      <c r="D107" s="30"/>
      <c r="E107" s="30"/>
      <c r="F107" s="31"/>
      <c r="G107" s="48" t="s">
        <v>307</v>
      </c>
      <c r="H107" s="30"/>
      <c r="I107" s="30"/>
      <c r="J107" s="31"/>
      <c r="K107" s="48" t="s">
        <v>230</v>
      </c>
      <c r="L107" s="30"/>
      <c r="M107" s="30"/>
      <c r="N107" s="31"/>
      <c r="O107" s="48" t="s">
        <v>174</v>
      </c>
      <c r="P107" s="30"/>
      <c r="Q107" s="31"/>
      <c r="R107" s="48" t="s">
        <v>175</v>
      </c>
      <c r="S107" s="31"/>
      <c r="T107" s="49"/>
      <c r="U107" s="31"/>
      <c r="V107" s="49"/>
      <c r="W107" s="31"/>
      <c r="X107" s="47" t="s">
        <v>176</v>
      </c>
      <c r="Y107" s="31"/>
    </row>
    <row r="108" ht="34.5" customHeight="1">
      <c r="A108" s="45">
        <v>2.0</v>
      </c>
      <c r="B108" s="46" t="s">
        <v>198</v>
      </c>
      <c r="C108" s="47" t="s">
        <v>308</v>
      </c>
      <c r="D108" s="30"/>
      <c r="E108" s="30"/>
      <c r="F108" s="31"/>
      <c r="G108" s="48" t="s">
        <v>200</v>
      </c>
      <c r="H108" s="30"/>
      <c r="I108" s="30"/>
      <c r="J108" s="31"/>
      <c r="K108" s="48" t="s">
        <v>201</v>
      </c>
      <c r="L108" s="30"/>
      <c r="M108" s="30"/>
      <c r="N108" s="31"/>
      <c r="O108" s="48" t="s">
        <v>174</v>
      </c>
      <c r="P108" s="30"/>
      <c r="Q108" s="31"/>
      <c r="R108" s="49"/>
      <c r="S108" s="31"/>
      <c r="T108" s="48" t="s">
        <v>175</v>
      </c>
      <c r="U108" s="31"/>
      <c r="V108" s="49"/>
      <c r="W108" s="31"/>
      <c r="X108" s="47" t="s">
        <v>309</v>
      </c>
      <c r="Y108" s="31"/>
    </row>
    <row r="109" ht="34.5" customHeight="1">
      <c r="A109" s="45">
        <v>3.0</v>
      </c>
      <c r="B109" s="46" t="s">
        <v>250</v>
      </c>
      <c r="C109" s="47" t="s">
        <v>310</v>
      </c>
      <c r="D109" s="30"/>
      <c r="E109" s="30"/>
      <c r="F109" s="31"/>
      <c r="G109" s="48" t="s">
        <v>200</v>
      </c>
      <c r="H109" s="30"/>
      <c r="I109" s="30"/>
      <c r="J109" s="31"/>
      <c r="K109" s="48" t="s">
        <v>201</v>
      </c>
      <c r="L109" s="30"/>
      <c r="M109" s="30"/>
      <c r="N109" s="31"/>
      <c r="O109" s="48" t="s">
        <v>184</v>
      </c>
      <c r="P109" s="30"/>
      <c r="Q109" s="31"/>
      <c r="R109" s="49"/>
      <c r="S109" s="31"/>
      <c r="T109" s="48" t="s">
        <v>175</v>
      </c>
      <c r="U109" s="31"/>
      <c r="V109" s="49"/>
      <c r="W109" s="31"/>
      <c r="X109" s="47" t="s">
        <v>311</v>
      </c>
      <c r="Y109" s="31"/>
    </row>
    <row r="110" ht="34.5" customHeight="1">
      <c r="A110" s="45">
        <v>4.0</v>
      </c>
      <c r="B110" s="46" t="s">
        <v>312</v>
      </c>
      <c r="C110" s="47" t="s">
        <v>313</v>
      </c>
      <c r="D110" s="30"/>
      <c r="E110" s="30"/>
      <c r="F110" s="31"/>
      <c r="G110" s="48" t="s">
        <v>179</v>
      </c>
      <c r="H110" s="30"/>
      <c r="I110" s="30"/>
      <c r="J110" s="31"/>
      <c r="K110" s="48" t="s">
        <v>314</v>
      </c>
      <c r="L110" s="30"/>
      <c r="M110" s="30"/>
      <c r="N110" s="31"/>
      <c r="O110" s="48" t="s">
        <v>184</v>
      </c>
      <c r="P110" s="30"/>
      <c r="Q110" s="31"/>
      <c r="R110" s="49"/>
      <c r="S110" s="31"/>
      <c r="T110" s="49"/>
      <c r="U110" s="31"/>
      <c r="V110" s="49"/>
      <c r="W110" s="31"/>
      <c r="X110" s="49"/>
      <c r="Y110" s="31"/>
    </row>
    <row r="111" ht="34.5" customHeight="1">
      <c r="A111" s="45">
        <v>5.0</v>
      </c>
      <c r="B111" s="46" t="s">
        <v>315</v>
      </c>
      <c r="C111" s="47" t="s">
        <v>316</v>
      </c>
      <c r="D111" s="30"/>
      <c r="E111" s="30"/>
      <c r="F111" s="31"/>
      <c r="G111" s="48" t="s">
        <v>317</v>
      </c>
      <c r="H111" s="30"/>
      <c r="I111" s="30"/>
      <c r="J111" s="31"/>
      <c r="K111" s="48" t="s">
        <v>101</v>
      </c>
      <c r="L111" s="30"/>
      <c r="M111" s="30"/>
      <c r="N111" s="31"/>
      <c r="O111" s="48" t="s">
        <v>174</v>
      </c>
      <c r="P111" s="30"/>
      <c r="Q111" s="31"/>
      <c r="R111" s="49"/>
      <c r="S111" s="31"/>
      <c r="T111" s="49"/>
      <c r="U111" s="31"/>
      <c r="V111" s="49"/>
      <c r="W111" s="31"/>
      <c r="X111" s="49"/>
      <c r="Y111" s="31"/>
    </row>
    <row r="112" ht="34.5" customHeight="1">
      <c r="A112" s="45">
        <v>6.0</v>
      </c>
      <c r="B112" s="46" t="s">
        <v>318</v>
      </c>
      <c r="C112" s="47" t="s">
        <v>319</v>
      </c>
      <c r="D112" s="30"/>
      <c r="E112" s="30"/>
      <c r="F112" s="31"/>
      <c r="G112" s="48" t="s">
        <v>179</v>
      </c>
      <c r="H112" s="30"/>
      <c r="I112" s="30"/>
      <c r="J112" s="31"/>
      <c r="K112" s="48" t="s">
        <v>183</v>
      </c>
      <c r="L112" s="30"/>
      <c r="M112" s="30"/>
      <c r="N112" s="31"/>
      <c r="O112" s="48" t="s">
        <v>184</v>
      </c>
      <c r="P112" s="30"/>
      <c r="Q112" s="31"/>
      <c r="R112" s="49"/>
      <c r="S112" s="31"/>
      <c r="T112" s="49"/>
      <c r="U112" s="31"/>
      <c r="V112" s="49"/>
      <c r="W112" s="31"/>
      <c r="X112" s="49"/>
      <c r="Y112" s="31"/>
    </row>
    <row r="113" ht="34.5" customHeight="1">
      <c r="A113" s="45">
        <v>7.0</v>
      </c>
      <c r="B113" s="46" t="s">
        <v>320</v>
      </c>
      <c r="C113" s="47" t="s">
        <v>321</v>
      </c>
      <c r="D113" s="30"/>
      <c r="E113" s="30"/>
      <c r="F113" s="31"/>
      <c r="G113" s="48" t="s">
        <v>89</v>
      </c>
      <c r="H113" s="30"/>
      <c r="I113" s="30"/>
      <c r="J113" s="31"/>
      <c r="K113" s="48" t="s">
        <v>230</v>
      </c>
      <c r="L113" s="30"/>
      <c r="M113" s="30"/>
      <c r="N113" s="31"/>
      <c r="O113" s="48" t="s">
        <v>174</v>
      </c>
      <c r="P113" s="30"/>
      <c r="Q113" s="31"/>
      <c r="R113" s="49"/>
      <c r="S113" s="31"/>
      <c r="T113" s="49"/>
      <c r="U113" s="31"/>
      <c r="V113" s="49"/>
      <c r="W113" s="31"/>
      <c r="X113" s="47" t="s">
        <v>231</v>
      </c>
      <c r="Y113" s="31"/>
    </row>
    <row r="114" ht="34.5" customHeight="1">
      <c r="A114" s="45">
        <v>8.0</v>
      </c>
      <c r="B114" s="46" t="s">
        <v>322</v>
      </c>
      <c r="C114" s="47" t="s">
        <v>323</v>
      </c>
      <c r="D114" s="30"/>
      <c r="E114" s="30"/>
      <c r="F114" s="31"/>
      <c r="G114" s="48" t="s">
        <v>179</v>
      </c>
      <c r="H114" s="30"/>
      <c r="I114" s="30"/>
      <c r="J114" s="31"/>
      <c r="K114" s="48" t="s">
        <v>266</v>
      </c>
      <c r="L114" s="30"/>
      <c r="M114" s="30"/>
      <c r="N114" s="31"/>
      <c r="O114" s="48" t="s">
        <v>174</v>
      </c>
      <c r="P114" s="30"/>
      <c r="Q114" s="31"/>
      <c r="R114" s="49"/>
      <c r="S114" s="31"/>
      <c r="T114" s="49"/>
      <c r="U114" s="31"/>
      <c r="V114" s="49"/>
      <c r="W114" s="31"/>
      <c r="X114" s="47" t="s">
        <v>324</v>
      </c>
      <c r="Y114" s="31"/>
    </row>
    <row r="115" ht="34.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ht="34.5" customHeight="1">
      <c r="A116" s="51">
        <v>10.0</v>
      </c>
      <c r="B116" s="52" t="s">
        <v>4</v>
      </c>
      <c r="C116" s="53" t="str">
        <f>B13</f>
        <v>comentario</v>
      </c>
      <c r="D116" s="30"/>
      <c r="E116" s="30"/>
      <c r="F116" s="31"/>
      <c r="G116" s="52" t="s">
        <v>6</v>
      </c>
      <c r="H116" s="30"/>
      <c r="I116" s="30"/>
      <c r="J116" s="31"/>
      <c r="K116" s="54" t="str">
        <f>F13</f>
        <v>Respuesta que un usuario escribe sobre una publicación; el autor puede ser distinto al de la publicación.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1"/>
      <c r="X116" s="55" t="s">
        <v>159</v>
      </c>
      <c r="Y116" s="56" t="s">
        <v>160</v>
      </c>
    </row>
    <row r="117" ht="34.5" customHeight="1">
      <c r="A117" s="55" t="s">
        <v>3</v>
      </c>
      <c r="B117" s="55" t="s">
        <v>161</v>
      </c>
      <c r="C117" s="52" t="s">
        <v>162</v>
      </c>
      <c r="D117" s="30"/>
      <c r="E117" s="30"/>
      <c r="F117" s="31"/>
      <c r="G117" s="52" t="s">
        <v>163</v>
      </c>
      <c r="H117" s="30"/>
      <c r="I117" s="30"/>
      <c r="J117" s="31"/>
      <c r="K117" s="52" t="s">
        <v>164</v>
      </c>
      <c r="L117" s="30"/>
      <c r="M117" s="30"/>
      <c r="N117" s="31"/>
      <c r="O117" s="52" t="s">
        <v>165</v>
      </c>
      <c r="P117" s="30"/>
      <c r="Q117" s="31"/>
      <c r="R117" s="52" t="s">
        <v>166</v>
      </c>
      <c r="S117" s="31"/>
      <c r="T117" s="52" t="s">
        <v>167</v>
      </c>
      <c r="U117" s="31"/>
      <c r="V117" s="52" t="s">
        <v>168</v>
      </c>
      <c r="W117" s="31"/>
      <c r="X117" s="52" t="s">
        <v>169</v>
      </c>
      <c r="Y117" s="31"/>
    </row>
    <row r="118" ht="34.5" customHeight="1">
      <c r="A118" s="45">
        <v>1.0</v>
      </c>
      <c r="B118" s="46" t="s">
        <v>325</v>
      </c>
      <c r="C118" s="47" t="s">
        <v>326</v>
      </c>
      <c r="D118" s="30"/>
      <c r="E118" s="30"/>
      <c r="F118" s="31"/>
      <c r="G118" s="48" t="s">
        <v>307</v>
      </c>
      <c r="H118" s="30"/>
      <c r="I118" s="30"/>
      <c r="J118" s="31"/>
      <c r="K118" s="48" t="s">
        <v>230</v>
      </c>
      <c r="L118" s="30"/>
      <c r="M118" s="30"/>
      <c r="N118" s="31"/>
      <c r="O118" s="48" t="s">
        <v>174</v>
      </c>
      <c r="P118" s="30"/>
      <c r="Q118" s="31"/>
      <c r="R118" s="48" t="s">
        <v>175</v>
      </c>
      <c r="S118" s="31"/>
      <c r="T118" s="49"/>
      <c r="U118" s="31"/>
      <c r="V118" s="49"/>
      <c r="W118" s="31"/>
      <c r="X118" s="47" t="s">
        <v>176</v>
      </c>
      <c r="Y118" s="31"/>
    </row>
    <row r="119" ht="34.5" customHeight="1">
      <c r="A119" s="45">
        <v>2.0</v>
      </c>
      <c r="B119" s="46" t="s">
        <v>305</v>
      </c>
      <c r="C119" s="47" t="s">
        <v>327</v>
      </c>
      <c r="D119" s="30"/>
      <c r="E119" s="30"/>
      <c r="F119" s="31"/>
      <c r="G119" s="48" t="s">
        <v>307</v>
      </c>
      <c r="H119" s="30"/>
      <c r="I119" s="30"/>
      <c r="J119" s="31"/>
      <c r="K119" s="48" t="s">
        <v>230</v>
      </c>
      <c r="L119" s="30"/>
      <c r="M119" s="30"/>
      <c r="N119" s="31"/>
      <c r="O119" s="48" t="s">
        <v>174</v>
      </c>
      <c r="P119" s="30"/>
      <c r="Q119" s="31"/>
      <c r="R119" s="49"/>
      <c r="S119" s="31"/>
      <c r="T119" s="48" t="s">
        <v>175</v>
      </c>
      <c r="U119" s="31"/>
      <c r="V119" s="49"/>
      <c r="W119" s="31"/>
      <c r="X119" s="47" t="s">
        <v>328</v>
      </c>
      <c r="Y119" s="31"/>
    </row>
    <row r="120" ht="34.5" customHeight="1">
      <c r="A120" s="45">
        <v>3.0</v>
      </c>
      <c r="B120" s="46" t="s">
        <v>198</v>
      </c>
      <c r="C120" s="47" t="s">
        <v>329</v>
      </c>
      <c r="D120" s="30"/>
      <c r="E120" s="30"/>
      <c r="F120" s="31"/>
      <c r="G120" s="48" t="s">
        <v>200</v>
      </c>
      <c r="H120" s="30"/>
      <c r="I120" s="30"/>
      <c r="J120" s="31"/>
      <c r="K120" s="48" t="s">
        <v>201</v>
      </c>
      <c r="L120" s="30"/>
      <c r="M120" s="30"/>
      <c r="N120" s="31"/>
      <c r="O120" s="48" t="s">
        <v>174</v>
      </c>
      <c r="P120" s="30"/>
      <c r="Q120" s="31"/>
      <c r="R120" s="49"/>
      <c r="S120" s="31"/>
      <c r="T120" s="48" t="s">
        <v>175</v>
      </c>
      <c r="U120" s="31"/>
      <c r="V120" s="49"/>
      <c r="W120" s="31"/>
      <c r="X120" s="47" t="s">
        <v>309</v>
      </c>
      <c r="Y120" s="31"/>
    </row>
    <row r="121" ht="34.5" customHeight="1">
      <c r="A121" s="45">
        <v>4.0</v>
      </c>
      <c r="B121" s="46" t="s">
        <v>330</v>
      </c>
      <c r="C121" s="47" t="s">
        <v>331</v>
      </c>
      <c r="D121" s="30"/>
      <c r="E121" s="30"/>
      <c r="F121" s="31"/>
      <c r="G121" s="48" t="s">
        <v>179</v>
      </c>
      <c r="H121" s="30"/>
      <c r="I121" s="30"/>
      <c r="J121" s="31"/>
      <c r="K121" s="48" t="s">
        <v>332</v>
      </c>
      <c r="L121" s="30"/>
      <c r="M121" s="30"/>
      <c r="N121" s="31"/>
      <c r="O121" s="48" t="s">
        <v>174</v>
      </c>
      <c r="P121" s="30"/>
      <c r="Q121" s="31"/>
      <c r="R121" s="49"/>
      <c r="S121" s="31"/>
      <c r="T121" s="49"/>
      <c r="U121" s="31"/>
      <c r="V121" s="49"/>
      <c r="W121" s="31"/>
      <c r="X121" s="49"/>
      <c r="Y121" s="31"/>
    </row>
    <row r="122" ht="34.5" customHeight="1">
      <c r="A122" s="45">
        <v>5.0</v>
      </c>
      <c r="B122" s="46" t="s">
        <v>333</v>
      </c>
      <c r="C122" s="47" t="s">
        <v>334</v>
      </c>
      <c r="D122" s="30"/>
      <c r="E122" s="30"/>
      <c r="F122" s="31"/>
      <c r="G122" s="48" t="s">
        <v>89</v>
      </c>
      <c r="H122" s="30"/>
      <c r="I122" s="30"/>
      <c r="J122" s="31"/>
      <c r="K122" s="48" t="s">
        <v>230</v>
      </c>
      <c r="L122" s="30"/>
      <c r="M122" s="30"/>
      <c r="N122" s="31"/>
      <c r="O122" s="48" t="s">
        <v>174</v>
      </c>
      <c r="P122" s="30"/>
      <c r="Q122" s="31"/>
      <c r="R122" s="49"/>
      <c r="S122" s="31"/>
      <c r="T122" s="49"/>
      <c r="U122" s="31"/>
      <c r="V122" s="49"/>
      <c r="W122" s="31"/>
      <c r="X122" s="47" t="s">
        <v>231</v>
      </c>
      <c r="Y122" s="31"/>
    </row>
    <row r="123" ht="34.5" customHeight="1">
      <c r="A123" s="45">
        <v>6.0</v>
      </c>
      <c r="B123" s="46" t="s">
        <v>335</v>
      </c>
      <c r="C123" s="47" t="s">
        <v>323</v>
      </c>
      <c r="D123" s="30"/>
      <c r="E123" s="30"/>
      <c r="F123" s="31"/>
      <c r="G123" s="48" t="s">
        <v>179</v>
      </c>
      <c r="H123" s="30"/>
      <c r="I123" s="30"/>
      <c r="J123" s="31"/>
      <c r="K123" s="48" t="s">
        <v>266</v>
      </c>
      <c r="L123" s="30"/>
      <c r="M123" s="30"/>
      <c r="N123" s="31"/>
      <c r="O123" s="48" t="s">
        <v>174</v>
      </c>
      <c r="P123" s="30"/>
      <c r="Q123" s="31"/>
      <c r="R123" s="49"/>
      <c r="S123" s="31"/>
      <c r="T123" s="49"/>
      <c r="U123" s="31"/>
      <c r="V123" s="49"/>
      <c r="W123" s="31"/>
      <c r="X123" s="47" t="s">
        <v>336</v>
      </c>
      <c r="Y123" s="31"/>
    </row>
    <row r="124" ht="34.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ht="34.5" customHeight="1">
      <c r="A125" s="51">
        <v>11.0</v>
      </c>
      <c r="B125" s="52" t="s">
        <v>4</v>
      </c>
      <c r="C125" s="53" t="str">
        <f>B14</f>
        <v>reaccion</v>
      </c>
      <c r="D125" s="30"/>
      <c r="E125" s="30"/>
      <c r="F125" s="31"/>
      <c r="G125" s="52" t="s">
        <v>6</v>
      </c>
      <c r="H125" s="30"/>
      <c r="I125" s="30"/>
      <c r="J125" s="31"/>
      <c r="K125" s="54" t="str">
        <f>F14</f>
        <v>Reacción breve (me gusta, me encanta...) de un usuario a una publicación; una sola por usuario y publicación.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1"/>
      <c r="X125" s="55" t="s">
        <v>159</v>
      </c>
      <c r="Y125" s="56" t="s">
        <v>160</v>
      </c>
    </row>
    <row r="126" ht="34.5" customHeight="1">
      <c r="A126" s="55" t="s">
        <v>3</v>
      </c>
      <c r="B126" s="55" t="s">
        <v>161</v>
      </c>
      <c r="C126" s="52" t="s">
        <v>162</v>
      </c>
      <c r="D126" s="30"/>
      <c r="E126" s="30"/>
      <c r="F126" s="31"/>
      <c r="G126" s="52" t="s">
        <v>163</v>
      </c>
      <c r="H126" s="30"/>
      <c r="I126" s="30"/>
      <c r="J126" s="31"/>
      <c r="K126" s="52" t="s">
        <v>164</v>
      </c>
      <c r="L126" s="30"/>
      <c r="M126" s="30"/>
      <c r="N126" s="31"/>
      <c r="O126" s="52" t="s">
        <v>165</v>
      </c>
      <c r="P126" s="30"/>
      <c r="Q126" s="31"/>
      <c r="R126" s="52" t="s">
        <v>166</v>
      </c>
      <c r="S126" s="31"/>
      <c r="T126" s="52" t="s">
        <v>167</v>
      </c>
      <c r="U126" s="31"/>
      <c r="V126" s="52" t="s">
        <v>168</v>
      </c>
      <c r="W126" s="31"/>
      <c r="X126" s="52" t="s">
        <v>169</v>
      </c>
      <c r="Y126" s="31"/>
    </row>
    <row r="127" ht="34.5" customHeight="1">
      <c r="A127" s="45">
        <v>1.0</v>
      </c>
      <c r="B127" s="46" t="s">
        <v>305</v>
      </c>
      <c r="C127" s="47" t="s">
        <v>337</v>
      </c>
      <c r="D127" s="30"/>
      <c r="E127" s="30"/>
      <c r="F127" s="31"/>
      <c r="G127" s="48" t="s">
        <v>307</v>
      </c>
      <c r="H127" s="30"/>
      <c r="I127" s="30"/>
      <c r="J127" s="31"/>
      <c r="K127" s="48" t="s">
        <v>230</v>
      </c>
      <c r="L127" s="30"/>
      <c r="M127" s="30"/>
      <c r="N127" s="31"/>
      <c r="O127" s="48" t="s">
        <v>174</v>
      </c>
      <c r="P127" s="30"/>
      <c r="Q127" s="31"/>
      <c r="R127" s="48" t="s">
        <v>175</v>
      </c>
      <c r="S127" s="31"/>
      <c r="T127" s="48" t="s">
        <v>175</v>
      </c>
      <c r="U127" s="31"/>
      <c r="V127" s="49"/>
      <c r="W127" s="31"/>
      <c r="X127" s="47" t="s">
        <v>328</v>
      </c>
      <c r="Y127" s="31"/>
    </row>
    <row r="128" ht="34.5" customHeight="1">
      <c r="A128" s="45">
        <v>2.0</v>
      </c>
      <c r="B128" s="46" t="s">
        <v>198</v>
      </c>
      <c r="C128" s="47" t="s">
        <v>338</v>
      </c>
      <c r="D128" s="30"/>
      <c r="E128" s="30"/>
      <c r="F128" s="31"/>
      <c r="G128" s="48" t="s">
        <v>200</v>
      </c>
      <c r="H128" s="30"/>
      <c r="I128" s="30"/>
      <c r="J128" s="31"/>
      <c r="K128" s="48" t="s">
        <v>201</v>
      </c>
      <c r="L128" s="30"/>
      <c r="M128" s="30"/>
      <c r="N128" s="31"/>
      <c r="O128" s="48" t="s">
        <v>174</v>
      </c>
      <c r="P128" s="30"/>
      <c r="Q128" s="31"/>
      <c r="R128" s="48" t="s">
        <v>175</v>
      </c>
      <c r="S128" s="31"/>
      <c r="T128" s="48" t="s">
        <v>175</v>
      </c>
      <c r="U128" s="31"/>
      <c r="V128" s="49"/>
      <c r="W128" s="31"/>
      <c r="X128" s="47" t="s">
        <v>237</v>
      </c>
      <c r="Y128" s="31"/>
    </row>
    <row r="129" ht="34.5" customHeight="1">
      <c r="A129" s="45">
        <v>3.0</v>
      </c>
      <c r="B129" s="46" t="s">
        <v>339</v>
      </c>
      <c r="C129" s="47" t="s">
        <v>340</v>
      </c>
      <c r="D129" s="30"/>
      <c r="E129" s="30"/>
      <c r="F129" s="31"/>
      <c r="G129" s="48" t="s">
        <v>179</v>
      </c>
      <c r="H129" s="30"/>
      <c r="I129" s="30"/>
      <c r="J129" s="31"/>
      <c r="K129" s="48" t="s">
        <v>234</v>
      </c>
      <c r="L129" s="30"/>
      <c r="M129" s="30"/>
      <c r="N129" s="31"/>
      <c r="O129" s="48" t="s">
        <v>174</v>
      </c>
      <c r="P129" s="30"/>
      <c r="Q129" s="31"/>
      <c r="R129" s="49"/>
      <c r="S129" s="31"/>
      <c r="T129" s="49"/>
      <c r="U129" s="31"/>
      <c r="V129" s="49"/>
      <c r="W129" s="31"/>
      <c r="X129" s="47" t="s">
        <v>341</v>
      </c>
      <c r="Y129" s="31"/>
    </row>
    <row r="130" ht="34.5" customHeight="1">
      <c r="A130" s="45">
        <v>4.0</v>
      </c>
      <c r="B130" s="46" t="s">
        <v>342</v>
      </c>
      <c r="C130" s="47" t="s">
        <v>343</v>
      </c>
      <c r="D130" s="30"/>
      <c r="E130" s="30"/>
      <c r="F130" s="31"/>
      <c r="G130" s="48" t="s">
        <v>89</v>
      </c>
      <c r="H130" s="30"/>
      <c r="I130" s="30"/>
      <c r="J130" s="31"/>
      <c r="K130" s="48" t="s">
        <v>230</v>
      </c>
      <c r="L130" s="30"/>
      <c r="M130" s="30"/>
      <c r="N130" s="31"/>
      <c r="O130" s="48" t="s">
        <v>174</v>
      </c>
      <c r="P130" s="30"/>
      <c r="Q130" s="31"/>
      <c r="R130" s="49"/>
      <c r="S130" s="31"/>
      <c r="T130" s="49"/>
      <c r="U130" s="31"/>
      <c r="V130" s="49"/>
      <c r="W130" s="31"/>
      <c r="X130" s="47" t="s">
        <v>231</v>
      </c>
      <c r="Y130" s="31"/>
    </row>
    <row r="131" ht="34.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ht="34.5" customHeight="1">
      <c r="A132" s="51">
        <v>12.0</v>
      </c>
      <c r="B132" s="52" t="s">
        <v>4</v>
      </c>
      <c r="C132" s="53" t="str">
        <f>B15</f>
        <v>mensaje</v>
      </c>
      <c r="D132" s="30"/>
      <c r="E132" s="30"/>
      <c r="F132" s="31"/>
      <c r="G132" s="52" t="s">
        <v>6</v>
      </c>
      <c r="H132" s="30"/>
      <c r="I132" s="30"/>
      <c r="J132" s="31"/>
      <c r="K132" s="54" t="str">
        <f>F15</f>
        <v>Mensaje privado enviado por un usuario a otro dentro de la plataforma.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1"/>
      <c r="X132" s="55" t="s">
        <v>159</v>
      </c>
      <c r="Y132" s="56" t="s">
        <v>160</v>
      </c>
    </row>
    <row r="133" ht="34.5" customHeight="1">
      <c r="A133" s="55" t="s">
        <v>3</v>
      </c>
      <c r="B133" s="55" t="s">
        <v>161</v>
      </c>
      <c r="C133" s="52" t="s">
        <v>162</v>
      </c>
      <c r="D133" s="30"/>
      <c r="E133" s="30"/>
      <c r="F133" s="31"/>
      <c r="G133" s="52" t="s">
        <v>163</v>
      </c>
      <c r="H133" s="30"/>
      <c r="I133" s="30"/>
      <c r="J133" s="31"/>
      <c r="K133" s="52" t="s">
        <v>164</v>
      </c>
      <c r="L133" s="30"/>
      <c r="M133" s="30"/>
      <c r="N133" s="31"/>
      <c r="O133" s="52" t="s">
        <v>165</v>
      </c>
      <c r="P133" s="30"/>
      <c r="Q133" s="31"/>
      <c r="R133" s="52" t="s">
        <v>166</v>
      </c>
      <c r="S133" s="31"/>
      <c r="T133" s="52" t="s">
        <v>167</v>
      </c>
      <c r="U133" s="31"/>
      <c r="V133" s="52" t="s">
        <v>168</v>
      </c>
      <c r="W133" s="31"/>
      <c r="X133" s="52" t="s">
        <v>169</v>
      </c>
      <c r="Y133" s="31"/>
    </row>
    <row r="134" ht="34.5" customHeight="1">
      <c r="A134" s="45">
        <v>1.0</v>
      </c>
      <c r="B134" s="46" t="s">
        <v>344</v>
      </c>
      <c r="C134" s="47" t="s">
        <v>345</v>
      </c>
      <c r="D134" s="30"/>
      <c r="E134" s="30"/>
      <c r="F134" s="31"/>
      <c r="G134" s="48" t="s">
        <v>307</v>
      </c>
      <c r="H134" s="30"/>
      <c r="I134" s="30"/>
      <c r="J134" s="31"/>
      <c r="K134" s="48" t="s">
        <v>230</v>
      </c>
      <c r="L134" s="30"/>
      <c r="M134" s="30"/>
      <c r="N134" s="31"/>
      <c r="O134" s="48" t="s">
        <v>174</v>
      </c>
      <c r="P134" s="30"/>
      <c r="Q134" s="31"/>
      <c r="R134" s="48" t="s">
        <v>175</v>
      </c>
      <c r="S134" s="31"/>
      <c r="T134" s="49"/>
      <c r="U134" s="31"/>
      <c r="V134" s="49"/>
      <c r="W134" s="31"/>
      <c r="X134" s="47" t="s">
        <v>176</v>
      </c>
      <c r="Y134" s="31"/>
    </row>
    <row r="135" ht="34.5" customHeight="1">
      <c r="A135" s="45">
        <v>2.0</v>
      </c>
      <c r="B135" s="46" t="s">
        <v>346</v>
      </c>
      <c r="C135" s="47" t="s">
        <v>347</v>
      </c>
      <c r="D135" s="30"/>
      <c r="E135" s="30"/>
      <c r="F135" s="31"/>
      <c r="G135" s="48" t="s">
        <v>200</v>
      </c>
      <c r="H135" s="30"/>
      <c r="I135" s="30"/>
      <c r="J135" s="31"/>
      <c r="K135" s="48" t="s">
        <v>201</v>
      </c>
      <c r="L135" s="30"/>
      <c r="M135" s="30"/>
      <c r="N135" s="31"/>
      <c r="O135" s="48" t="s">
        <v>174</v>
      </c>
      <c r="P135" s="30"/>
      <c r="Q135" s="31"/>
      <c r="R135" s="49"/>
      <c r="S135" s="31"/>
      <c r="T135" s="48" t="s">
        <v>175</v>
      </c>
      <c r="U135" s="31"/>
      <c r="V135" s="49"/>
      <c r="W135" s="31"/>
      <c r="X135" s="47" t="s">
        <v>348</v>
      </c>
      <c r="Y135" s="31"/>
    </row>
    <row r="136" ht="34.5" customHeight="1">
      <c r="A136" s="45">
        <v>3.0</v>
      </c>
      <c r="B136" s="46" t="s">
        <v>349</v>
      </c>
      <c r="C136" s="47" t="s">
        <v>350</v>
      </c>
      <c r="D136" s="30"/>
      <c r="E136" s="30"/>
      <c r="F136" s="31"/>
      <c r="G136" s="48" t="s">
        <v>200</v>
      </c>
      <c r="H136" s="30"/>
      <c r="I136" s="30"/>
      <c r="J136" s="31"/>
      <c r="K136" s="48" t="s">
        <v>201</v>
      </c>
      <c r="L136" s="30"/>
      <c r="M136" s="30"/>
      <c r="N136" s="31"/>
      <c r="O136" s="48" t="s">
        <v>174</v>
      </c>
      <c r="P136" s="30"/>
      <c r="Q136" s="31"/>
      <c r="R136" s="49"/>
      <c r="S136" s="31"/>
      <c r="T136" s="48" t="s">
        <v>175</v>
      </c>
      <c r="U136" s="31"/>
      <c r="V136" s="49"/>
      <c r="W136" s="31"/>
      <c r="X136" s="47" t="s">
        <v>348</v>
      </c>
      <c r="Y136" s="31"/>
    </row>
    <row r="137" ht="34.5" customHeight="1">
      <c r="A137" s="45">
        <v>4.0</v>
      </c>
      <c r="B137" s="46" t="s">
        <v>351</v>
      </c>
      <c r="C137" s="47" t="s">
        <v>352</v>
      </c>
      <c r="D137" s="30"/>
      <c r="E137" s="30"/>
      <c r="F137" s="31"/>
      <c r="G137" s="48" t="s">
        <v>179</v>
      </c>
      <c r="H137" s="30"/>
      <c r="I137" s="30"/>
      <c r="J137" s="31"/>
      <c r="K137" s="48" t="s">
        <v>314</v>
      </c>
      <c r="L137" s="30"/>
      <c r="M137" s="30"/>
      <c r="N137" s="31"/>
      <c r="O137" s="48" t="s">
        <v>184</v>
      </c>
      <c r="P137" s="30"/>
      <c r="Q137" s="31"/>
      <c r="R137" s="49"/>
      <c r="S137" s="31"/>
      <c r="T137" s="49"/>
      <c r="U137" s="31"/>
      <c r="V137" s="49"/>
      <c r="W137" s="31"/>
      <c r="X137" s="49"/>
      <c r="Y137" s="31"/>
    </row>
    <row r="138" ht="34.5" customHeight="1">
      <c r="A138" s="45">
        <v>5.0</v>
      </c>
      <c r="B138" s="46" t="s">
        <v>353</v>
      </c>
      <c r="C138" s="47" t="s">
        <v>354</v>
      </c>
      <c r="D138" s="30"/>
      <c r="E138" s="30"/>
      <c r="F138" s="31"/>
      <c r="G138" s="48" t="s">
        <v>317</v>
      </c>
      <c r="H138" s="30"/>
      <c r="I138" s="30"/>
      <c r="J138" s="31"/>
      <c r="K138" s="48" t="s">
        <v>101</v>
      </c>
      <c r="L138" s="30"/>
      <c r="M138" s="30"/>
      <c r="N138" s="31"/>
      <c r="O138" s="48" t="s">
        <v>174</v>
      </c>
      <c r="P138" s="30"/>
      <c r="Q138" s="31"/>
      <c r="R138" s="49"/>
      <c r="S138" s="31"/>
      <c r="T138" s="49"/>
      <c r="U138" s="31"/>
      <c r="V138" s="49"/>
      <c r="W138" s="31"/>
      <c r="X138" s="49"/>
      <c r="Y138" s="31"/>
    </row>
    <row r="139" ht="34.5" customHeight="1">
      <c r="A139" s="45">
        <v>6.0</v>
      </c>
      <c r="B139" s="46" t="s">
        <v>355</v>
      </c>
      <c r="C139" s="47" t="s">
        <v>356</v>
      </c>
      <c r="D139" s="30"/>
      <c r="E139" s="30"/>
      <c r="F139" s="31"/>
      <c r="G139" s="48" t="s">
        <v>89</v>
      </c>
      <c r="H139" s="30"/>
      <c r="I139" s="30"/>
      <c r="J139" s="31"/>
      <c r="K139" s="48" t="s">
        <v>230</v>
      </c>
      <c r="L139" s="30"/>
      <c r="M139" s="30"/>
      <c r="N139" s="31"/>
      <c r="O139" s="48" t="s">
        <v>174</v>
      </c>
      <c r="P139" s="30"/>
      <c r="Q139" s="31"/>
      <c r="R139" s="49"/>
      <c r="S139" s="31"/>
      <c r="T139" s="49"/>
      <c r="U139" s="31"/>
      <c r="V139" s="49"/>
      <c r="W139" s="31"/>
      <c r="X139" s="47" t="s">
        <v>231</v>
      </c>
      <c r="Y139" s="31"/>
    </row>
    <row r="140" ht="34.5" customHeight="1">
      <c r="A140" s="45">
        <v>7.0</v>
      </c>
      <c r="B140" s="46" t="s">
        <v>357</v>
      </c>
      <c r="C140" s="47" t="s">
        <v>358</v>
      </c>
      <c r="D140" s="30"/>
      <c r="E140" s="30"/>
      <c r="F140" s="31"/>
      <c r="G140" s="48" t="s">
        <v>59</v>
      </c>
      <c r="H140" s="30"/>
      <c r="I140" s="30"/>
      <c r="J140" s="31"/>
      <c r="K140" s="48" t="s">
        <v>187</v>
      </c>
      <c r="L140" s="30"/>
      <c r="M140" s="30"/>
      <c r="N140" s="31"/>
      <c r="O140" s="48" t="s">
        <v>174</v>
      </c>
      <c r="P140" s="30"/>
      <c r="Q140" s="31"/>
      <c r="R140" s="49"/>
      <c r="S140" s="31"/>
      <c r="T140" s="49"/>
      <c r="U140" s="31"/>
      <c r="V140" s="49"/>
      <c r="W140" s="31"/>
      <c r="X140" s="47" t="s">
        <v>263</v>
      </c>
      <c r="Y140" s="31"/>
    </row>
    <row r="141" ht="34.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ht="34.5" customHeight="1">
      <c r="A142" s="51">
        <v>13.0</v>
      </c>
      <c r="B142" s="52" t="s">
        <v>4</v>
      </c>
      <c r="C142" s="53" t="str">
        <f>B16</f>
        <v>notificacion</v>
      </c>
      <c r="D142" s="30"/>
      <c r="E142" s="30"/>
      <c r="F142" s="31"/>
      <c r="G142" s="52" t="s">
        <v>6</v>
      </c>
      <c r="H142" s="30"/>
      <c r="I142" s="30"/>
      <c r="J142" s="31"/>
      <c r="K142" s="54" t="str">
        <f>F16</f>
        <v>Aviso generado por el sistema y dirigido a un usuario sobre la actividad que le concierne.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1"/>
      <c r="X142" s="55" t="s">
        <v>159</v>
      </c>
      <c r="Y142" s="56" t="s">
        <v>160</v>
      </c>
    </row>
    <row r="143" ht="34.5" customHeight="1">
      <c r="A143" s="55" t="s">
        <v>3</v>
      </c>
      <c r="B143" s="55" t="s">
        <v>161</v>
      </c>
      <c r="C143" s="52" t="s">
        <v>162</v>
      </c>
      <c r="D143" s="30"/>
      <c r="E143" s="30"/>
      <c r="F143" s="31"/>
      <c r="G143" s="52" t="s">
        <v>163</v>
      </c>
      <c r="H143" s="30"/>
      <c r="I143" s="30"/>
      <c r="J143" s="31"/>
      <c r="K143" s="52" t="s">
        <v>164</v>
      </c>
      <c r="L143" s="30"/>
      <c r="M143" s="30"/>
      <c r="N143" s="31"/>
      <c r="O143" s="52" t="s">
        <v>165</v>
      </c>
      <c r="P143" s="30"/>
      <c r="Q143" s="31"/>
      <c r="R143" s="52" t="s">
        <v>166</v>
      </c>
      <c r="S143" s="31"/>
      <c r="T143" s="52" t="s">
        <v>167</v>
      </c>
      <c r="U143" s="31"/>
      <c r="V143" s="52" t="s">
        <v>168</v>
      </c>
      <c r="W143" s="31"/>
      <c r="X143" s="52" t="s">
        <v>169</v>
      </c>
      <c r="Y143" s="31"/>
    </row>
    <row r="144" ht="34.5" customHeight="1">
      <c r="A144" s="45">
        <v>1.0</v>
      </c>
      <c r="B144" s="46" t="s">
        <v>359</v>
      </c>
      <c r="C144" s="47" t="s">
        <v>360</v>
      </c>
      <c r="D144" s="30"/>
      <c r="E144" s="30"/>
      <c r="F144" s="31"/>
      <c r="G144" s="48" t="s">
        <v>307</v>
      </c>
      <c r="H144" s="30"/>
      <c r="I144" s="30"/>
      <c r="J144" s="31"/>
      <c r="K144" s="48" t="s">
        <v>230</v>
      </c>
      <c r="L144" s="30"/>
      <c r="M144" s="30"/>
      <c r="N144" s="31"/>
      <c r="O144" s="48" t="s">
        <v>174</v>
      </c>
      <c r="P144" s="30"/>
      <c r="Q144" s="31"/>
      <c r="R144" s="48" t="s">
        <v>175</v>
      </c>
      <c r="S144" s="31"/>
      <c r="T144" s="49"/>
      <c r="U144" s="31"/>
      <c r="V144" s="49"/>
      <c r="W144" s="31"/>
      <c r="X144" s="47" t="s">
        <v>176</v>
      </c>
      <c r="Y144" s="31"/>
    </row>
    <row r="145" ht="34.5" customHeight="1">
      <c r="A145" s="45">
        <v>2.0</v>
      </c>
      <c r="B145" s="46" t="s">
        <v>198</v>
      </c>
      <c r="C145" s="47" t="s">
        <v>361</v>
      </c>
      <c r="D145" s="30"/>
      <c r="E145" s="30"/>
      <c r="F145" s="31"/>
      <c r="G145" s="48" t="s">
        <v>200</v>
      </c>
      <c r="H145" s="30"/>
      <c r="I145" s="30"/>
      <c r="J145" s="31"/>
      <c r="K145" s="48" t="s">
        <v>201</v>
      </c>
      <c r="L145" s="30"/>
      <c r="M145" s="30"/>
      <c r="N145" s="31"/>
      <c r="O145" s="48" t="s">
        <v>174</v>
      </c>
      <c r="P145" s="30"/>
      <c r="Q145" s="31"/>
      <c r="R145" s="49"/>
      <c r="S145" s="31"/>
      <c r="T145" s="48" t="s">
        <v>175</v>
      </c>
      <c r="U145" s="31"/>
      <c r="V145" s="49"/>
      <c r="W145" s="31"/>
      <c r="X145" s="47" t="s">
        <v>237</v>
      </c>
      <c r="Y145" s="31"/>
    </row>
    <row r="146" ht="34.5" customHeight="1">
      <c r="A146" s="45">
        <v>3.0</v>
      </c>
      <c r="B146" s="46" t="s">
        <v>362</v>
      </c>
      <c r="C146" s="47" t="s">
        <v>363</v>
      </c>
      <c r="D146" s="30"/>
      <c r="E146" s="30"/>
      <c r="F146" s="31"/>
      <c r="G146" s="48" t="s">
        <v>179</v>
      </c>
      <c r="H146" s="30"/>
      <c r="I146" s="30"/>
      <c r="J146" s="31"/>
      <c r="K146" s="48" t="s">
        <v>224</v>
      </c>
      <c r="L146" s="30"/>
      <c r="M146" s="30"/>
      <c r="N146" s="31"/>
      <c r="O146" s="48" t="s">
        <v>174</v>
      </c>
      <c r="P146" s="30"/>
      <c r="Q146" s="31"/>
      <c r="R146" s="49"/>
      <c r="S146" s="31"/>
      <c r="T146" s="49"/>
      <c r="U146" s="31"/>
      <c r="V146" s="49"/>
      <c r="W146" s="31"/>
      <c r="X146" s="47" t="s">
        <v>364</v>
      </c>
      <c r="Y146" s="31"/>
    </row>
    <row r="147" ht="34.5" customHeight="1">
      <c r="A147" s="45">
        <v>4.0</v>
      </c>
      <c r="B147" s="46" t="s">
        <v>365</v>
      </c>
      <c r="C147" s="47" t="s">
        <v>366</v>
      </c>
      <c r="D147" s="30"/>
      <c r="E147" s="30"/>
      <c r="F147" s="31"/>
      <c r="G147" s="48" t="s">
        <v>307</v>
      </c>
      <c r="H147" s="30"/>
      <c r="I147" s="30"/>
      <c r="J147" s="31"/>
      <c r="K147" s="48" t="s">
        <v>230</v>
      </c>
      <c r="L147" s="30"/>
      <c r="M147" s="30"/>
      <c r="N147" s="31"/>
      <c r="O147" s="48" t="s">
        <v>184</v>
      </c>
      <c r="P147" s="30"/>
      <c r="Q147" s="31"/>
      <c r="R147" s="49"/>
      <c r="S147" s="31"/>
      <c r="T147" s="49"/>
      <c r="U147" s="31"/>
      <c r="V147" s="49"/>
      <c r="W147" s="31"/>
      <c r="X147" s="49"/>
      <c r="Y147" s="31"/>
    </row>
    <row r="148" ht="34.5" customHeight="1">
      <c r="A148" s="45">
        <v>5.0</v>
      </c>
      <c r="B148" s="46" t="s">
        <v>367</v>
      </c>
      <c r="C148" s="47" t="s">
        <v>368</v>
      </c>
      <c r="D148" s="30"/>
      <c r="E148" s="30"/>
      <c r="F148" s="31"/>
      <c r="G148" s="48" t="s">
        <v>179</v>
      </c>
      <c r="H148" s="30"/>
      <c r="I148" s="30"/>
      <c r="J148" s="31"/>
      <c r="K148" s="48" t="s">
        <v>183</v>
      </c>
      <c r="L148" s="30"/>
      <c r="M148" s="30"/>
      <c r="N148" s="31"/>
      <c r="O148" s="48" t="s">
        <v>174</v>
      </c>
      <c r="P148" s="30"/>
      <c r="Q148" s="31"/>
      <c r="R148" s="49"/>
      <c r="S148" s="31"/>
      <c r="T148" s="49"/>
      <c r="U148" s="31"/>
      <c r="V148" s="49"/>
      <c r="W148" s="31"/>
      <c r="X148" s="49"/>
      <c r="Y148" s="31"/>
    </row>
    <row r="149" ht="34.5" customHeight="1">
      <c r="A149" s="45">
        <v>6.0</v>
      </c>
      <c r="B149" s="46" t="s">
        <v>369</v>
      </c>
      <c r="C149" s="47" t="s">
        <v>370</v>
      </c>
      <c r="D149" s="30"/>
      <c r="E149" s="30"/>
      <c r="F149" s="31"/>
      <c r="G149" s="48" t="s">
        <v>89</v>
      </c>
      <c r="H149" s="30"/>
      <c r="I149" s="30"/>
      <c r="J149" s="31"/>
      <c r="K149" s="48" t="s">
        <v>230</v>
      </c>
      <c r="L149" s="30"/>
      <c r="M149" s="30"/>
      <c r="N149" s="31"/>
      <c r="O149" s="48" t="s">
        <v>174</v>
      </c>
      <c r="P149" s="30"/>
      <c r="Q149" s="31"/>
      <c r="R149" s="49"/>
      <c r="S149" s="31"/>
      <c r="T149" s="49"/>
      <c r="U149" s="31"/>
      <c r="V149" s="49"/>
      <c r="W149" s="31"/>
      <c r="X149" s="47" t="s">
        <v>231</v>
      </c>
      <c r="Y149" s="31"/>
    </row>
    <row r="150" ht="34.5" customHeight="1">
      <c r="A150" s="45">
        <v>7.0</v>
      </c>
      <c r="B150" s="46" t="s">
        <v>371</v>
      </c>
      <c r="C150" s="47" t="s">
        <v>372</v>
      </c>
      <c r="D150" s="30"/>
      <c r="E150" s="30"/>
      <c r="F150" s="31"/>
      <c r="G150" s="48" t="s">
        <v>59</v>
      </c>
      <c r="H150" s="30"/>
      <c r="I150" s="30"/>
      <c r="J150" s="31"/>
      <c r="K150" s="48" t="s">
        <v>187</v>
      </c>
      <c r="L150" s="30"/>
      <c r="M150" s="30"/>
      <c r="N150" s="31"/>
      <c r="O150" s="48" t="s">
        <v>174</v>
      </c>
      <c r="P150" s="30"/>
      <c r="Q150" s="31"/>
      <c r="R150" s="49"/>
      <c r="S150" s="31"/>
      <c r="T150" s="49"/>
      <c r="U150" s="31"/>
      <c r="V150" s="49"/>
      <c r="W150" s="31"/>
      <c r="X150" s="47" t="s">
        <v>263</v>
      </c>
      <c r="Y150" s="31"/>
    </row>
    <row r="151" ht="34.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 ht="34.5" customHeight="1">
      <c r="A152" s="51">
        <v>14.0</v>
      </c>
      <c r="B152" s="52" t="s">
        <v>4</v>
      </c>
      <c r="C152" s="53" t="str">
        <f>B17</f>
        <v>tipo_servicio</v>
      </c>
      <c r="D152" s="30"/>
      <c r="E152" s="30"/>
      <c r="F152" s="31"/>
      <c r="G152" s="52" t="s">
        <v>6</v>
      </c>
      <c r="H152" s="30"/>
      <c r="I152" s="30"/>
      <c r="J152" s="31"/>
      <c r="K152" s="54" t="str">
        <f>F17</f>
        <v>Catálogo de categorías de servicio definido por la administración (asesoría, tutoría, reparación de PC...).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1"/>
      <c r="X152" s="55" t="s">
        <v>159</v>
      </c>
      <c r="Y152" s="56" t="s">
        <v>160</v>
      </c>
    </row>
    <row r="153" ht="34.5" customHeight="1">
      <c r="A153" s="55" t="s">
        <v>3</v>
      </c>
      <c r="B153" s="55" t="s">
        <v>161</v>
      </c>
      <c r="C153" s="52" t="s">
        <v>162</v>
      </c>
      <c r="D153" s="30"/>
      <c r="E153" s="30"/>
      <c r="F153" s="31"/>
      <c r="G153" s="52" t="s">
        <v>163</v>
      </c>
      <c r="H153" s="30"/>
      <c r="I153" s="30"/>
      <c r="J153" s="31"/>
      <c r="K153" s="52" t="s">
        <v>164</v>
      </c>
      <c r="L153" s="30"/>
      <c r="M153" s="30"/>
      <c r="N153" s="31"/>
      <c r="O153" s="52" t="s">
        <v>165</v>
      </c>
      <c r="P153" s="30"/>
      <c r="Q153" s="31"/>
      <c r="R153" s="52" t="s">
        <v>166</v>
      </c>
      <c r="S153" s="31"/>
      <c r="T153" s="52" t="s">
        <v>167</v>
      </c>
      <c r="U153" s="31"/>
      <c r="V153" s="52" t="s">
        <v>168</v>
      </c>
      <c r="W153" s="31"/>
      <c r="X153" s="52" t="s">
        <v>169</v>
      </c>
      <c r="Y153" s="31"/>
    </row>
    <row r="154" ht="34.5" customHeight="1">
      <c r="A154" s="45">
        <v>1.0</v>
      </c>
      <c r="B154" s="46" t="s">
        <v>373</v>
      </c>
      <c r="C154" s="47" t="s">
        <v>374</v>
      </c>
      <c r="D154" s="30"/>
      <c r="E154" s="30"/>
      <c r="F154" s="31"/>
      <c r="G154" s="48" t="s">
        <v>172</v>
      </c>
      <c r="H154" s="30"/>
      <c r="I154" s="30"/>
      <c r="J154" s="31"/>
      <c r="K154" s="48" t="s">
        <v>173</v>
      </c>
      <c r="L154" s="30"/>
      <c r="M154" s="30"/>
      <c r="N154" s="31"/>
      <c r="O154" s="48" t="s">
        <v>174</v>
      </c>
      <c r="P154" s="30"/>
      <c r="Q154" s="31"/>
      <c r="R154" s="48" t="s">
        <v>175</v>
      </c>
      <c r="S154" s="31"/>
      <c r="T154" s="49"/>
      <c r="U154" s="31"/>
      <c r="V154" s="49"/>
      <c r="W154" s="31"/>
      <c r="X154" s="47" t="s">
        <v>176</v>
      </c>
      <c r="Y154" s="31"/>
    </row>
    <row r="155" ht="34.5" customHeight="1">
      <c r="A155" s="45">
        <v>2.0</v>
      </c>
      <c r="B155" s="46" t="s">
        <v>375</v>
      </c>
      <c r="C155" s="47" t="s">
        <v>376</v>
      </c>
      <c r="D155" s="30"/>
      <c r="E155" s="30"/>
      <c r="F155" s="31"/>
      <c r="G155" s="48" t="s">
        <v>200</v>
      </c>
      <c r="H155" s="30"/>
      <c r="I155" s="30"/>
      <c r="J155" s="31"/>
      <c r="K155" s="48" t="s">
        <v>201</v>
      </c>
      <c r="L155" s="30"/>
      <c r="M155" s="30"/>
      <c r="N155" s="31"/>
      <c r="O155" s="48" t="s">
        <v>174</v>
      </c>
      <c r="P155" s="30"/>
      <c r="Q155" s="31"/>
      <c r="R155" s="49"/>
      <c r="S155" s="31"/>
      <c r="T155" s="48" t="s">
        <v>175</v>
      </c>
      <c r="U155" s="31"/>
      <c r="V155" s="49"/>
      <c r="W155" s="31"/>
      <c r="X155" s="47" t="s">
        <v>309</v>
      </c>
      <c r="Y155" s="31"/>
    </row>
    <row r="156" ht="34.5" customHeight="1">
      <c r="A156" s="45">
        <v>3.0</v>
      </c>
      <c r="B156" s="46" t="s">
        <v>377</v>
      </c>
      <c r="C156" s="47" t="s">
        <v>378</v>
      </c>
      <c r="D156" s="30"/>
      <c r="E156" s="30"/>
      <c r="F156" s="31"/>
      <c r="G156" s="48" t="s">
        <v>179</v>
      </c>
      <c r="H156" s="30"/>
      <c r="I156" s="30"/>
      <c r="J156" s="31"/>
      <c r="K156" s="48" t="s">
        <v>215</v>
      </c>
      <c r="L156" s="30"/>
      <c r="M156" s="30"/>
      <c r="N156" s="31"/>
      <c r="O156" s="48" t="s">
        <v>174</v>
      </c>
      <c r="P156" s="30"/>
      <c r="Q156" s="31"/>
      <c r="R156" s="49"/>
      <c r="S156" s="31"/>
      <c r="T156" s="49"/>
      <c r="U156" s="31"/>
      <c r="V156" s="48" t="s">
        <v>175</v>
      </c>
      <c r="W156" s="31"/>
      <c r="X156" s="49"/>
      <c r="Y156" s="31"/>
    </row>
    <row r="157" ht="34.5" customHeight="1">
      <c r="A157" s="45">
        <v>4.0</v>
      </c>
      <c r="B157" s="46" t="s">
        <v>379</v>
      </c>
      <c r="C157" s="47" t="s">
        <v>380</v>
      </c>
      <c r="D157" s="30"/>
      <c r="E157" s="30"/>
      <c r="F157" s="31"/>
      <c r="G157" s="48" t="s">
        <v>179</v>
      </c>
      <c r="H157" s="30"/>
      <c r="I157" s="30"/>
      <c r="J157" s="31"/>
      <c r="K157" s="48" t="s">
        <v>183</v>
      </c>
      <c r="L157" s="30"/>
      <c r="M157" s="30"/>
      <c r="N157" s="31"/>
      <c r="O157" s="48" t="s">
        <v>184</v>
      </c>
      <c r="P157" s="30"/>
      <c r="Q157" s="31"/>
      <c r="R157" s="49"/>
      <c r="S157" s="31"/>
      <c r="T157" s="49"/>
      <c r="U157" s="31"/>
      <c r="V157" s="49"/>
      <c r="W157" s="31"/>
      <c r="X157" s="49"/>
      <c r="Y157" s="31"/>
    </row>
    <row r="158" ht="34.5" customHeight="1">
      <c r="A158" s="45">
        <v>5.0</v>
      </c>
      <c r="B158" s="46" t="s">
        <v>381</v>
      </c>
      <c r="C158" s="47" t="s">
        <v>382</v>
      </c>
      <c r="D158" s="30"/>
      <c r="E158" s="30"/>
      <c r="F158" s="31"/>
      <c r="G158" s="48" t="s">
        <v>59</v>
      </c>
      <c r="H158" s="30"/>
      <c r="I158" s="30"/>
      <c r="J158" s="31"/>
      <c r="K158" s="48" t="s">
        <v>187</v>
      </c>
      <c r="L158" s="30"/>
      <c r="M158" s="30"/>
      <c r="N158" s="31"/>
      <c r="O158" s="48" t="s">
        <v>174</v>
      </c>
      <c r="P158" s="30"/>
      <c r="Q158" s="31"/>
      <c r="R158" s="49"/>
      <c r="S158" s="31"/>
      <c r="T158" s="49"/>
      <c r="U158" s="31"/>
      <c r="V158" s="49"/>
      <c r="W158" s="31"/>
      <c r="X158" s="47" t="s">
        <v>188</v>
      </c>
      <c r="Y158" s="31"/>
    </row>
    <row r="159" ht="34.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 ht="34.5" customHeight="1">
      <c r="A160" s="51">
        <v>15.0</v>
      </c>
      <c r="B160" s="52" t="s">
        <v>4</v>
      </c>
      <c r="C160" s="53" t="str">
        <f>B18</f>
        <v>servicio</v>
      </c>
      <c r="D160" s="30"/>
      <c r="E160" s="30"/>
      <c r="F160" s="31"/>
      <c r="G160" s="52" t="s">
        <v>6</v>
      </c>
      <c r="H160" s="30"/>
      <c r="I160" s="30"/>
      <c r="J160" s="31"/>
      <c r="K160" s="54" t="str">
        <f>F18</f>
        <v>Servicio concreto que un usuario ofrece a la comunidad, con precio, duración y ubicación.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1"/>
      <c r="X160" s="55" t="s">
        <v>159</v>
      </c>
      <c r="Y160" s="56" t="s">
        <v>160</v>
      </c>
    </row>
    <row r="161" ht="34.5" customHeight="1">
      <c r="A161" s="55" t="s">
        <v>3</v>
      </c>
      <c r="B161" s="55" t="s">
        <v>161</v>
      </c>
      <c r="C161" s="52" t="s">
        <v>162</v>
      </c>
      <c r="D161" s="30"/>
      <c r="E161" s="30"/>
      <c r="F161" s="31"/>
      <c r="G161" s="52" t="s">
        <v>163</v>
      </c>
      <c r="H161" s="30"/>
      <c r="I161" s="30"/>
      <c r="J161" s="31"/>
      <c r="K161" s="52" t="s">
        <v>164</v>
      </c>
      <c r="L161" s="30"/>
      <c r="M161" s="30"/>
      <c r="N161" s="31"/>
      <c r="O161" s="52" t="s">
        <v>165</v>
      </c>
      <c r="P161" s="30"/>
      <c r="Q161" s="31"/>
      <c r="R161" s="52" t="s">
        <v>166</v>
      </c>
      <c r="S161" s="31"/>
      <c r="T161" s="52" t="s">
        <v>167</v>
      </c>
      <c r="U161" s="31"/>
      <c r="V161" s="52" t="s">
        <v>168</v>
      </c>
      <c r="W161" s="31"/>
      <c r="X161" s="52" t="s">
        <v>169</v>
      </c>
      <c r="Y161" s="31"/>
    </row>
    <row r="162" ht="34.5" customHeight="1">
      <c r="A162" s="45">
        <v>1.0</v>
      </c>
      <c r="B162" s="46" t="s">
        <v>383</v>
      </c>
      <c r="C162" s="47" t="s">
        <v>384</v>
      </c>
      <c r="D162" s="30"/>
      <c r="E162" s="30"/>
      <c r="F162" s="31"/>
      <c r="G162" s="48" t="s">
        <v>200</v>
      </c>
      <c r="H162" s="30"/>
      <c r="I162" s="30"/>
      <c r="J162" s="31"/>
      <c r="K162" s="48" t="s">
        <v>201</v>
      </c>
      <c r="L162" s="30"/>
      <c r="M162" s="30"/>
      <c r="N162" s="31"/>
      <c r="O162" s="48" t="s">
        <v>174</v>
      </c>
      <c r="P162" s="30"/>
      <c r="Q162" s="31"/>
      <c r="R162" s="48" t="s">
        <v>175</v>
      </c>
      <c r="S162" s="31"/>
      <c r="T162" s="49"/>
      <c r="U162" s="31"/>
      <c r="V162" s="49"/>
      <c r="W162" s="31"/>
      <c r="X162" s="47" t="s">
        <v>176</v>
      </c>
      <c r="Y162" s="31"/>
    </row>
    <row r="163" ht="34.5" customHeight="1">
      <c r="A163" s="45">
        <v>2.0</v>
      </c>
      <c r="B163" s="46" t="s">
        <v>198</v>
      </c>
      <c r="C163" s="47" t="s">
        <v>385</v>
      </c>
      <c r="D163" s="30"/>
      <c r="E163" s="30"/>
      <c r="F163" s="31"/>
      <c r="G163" s="48" t="s">
        <v>200</v>
      </c>
      <c r="H163" s="30"/>
      <c r="I163" s="30"/>
      <c r="J163" s="31"/>
      <c r="K163" s="48" t="s">
        <v>201</v>
      </c>
      <c r="L163" s="30"/>
      <c r="M163" s="30"/>
      <c r="N163" s="31"/>
      <c r="O163" s="48" t="s">
        <v>174</v>
      </c>
      <c r="P163" s="30"/>
      <c r="Q163" s="31"/>
      <c r="R163" s="49"/>
      <c r="S163" s="31"/>
      <c r="T163" s="48" t="s">
        <v>175</v>
      </c>
      <c r="U163" s="31"/>
      <c r="V163" s="49"/>
      <c r="W163" s="31"/>
      <c r="X163" s="47" t="s">
        <v>309</v>
      </c>
      <c r="Y163" s="31"/>
    </row>
    <row r="164" ht="34.5" customHeight="1">
      <c r="A164" s="45">
        <v>3.0</v>
      </c>
      <c r="B164" s="46" t="s">
        <v>373</v>
      </c>
      <c r="C164" s="47" t="s">
        <v>386</v>
      </c>
      <c r="D164" s="30"/>
      <c r="E164" s="30"/>
      <c r="F164" s="31"/>
      <c r="G164" s="48" t="s">
        <v>172</v>
      </c>
      <c r="H164" s="30"/>
      <c r="I164" s="30"/>
      <c r="J164" s="31"/>
      <c r="K164" s="48" t="s">
        <v>173</v>
      </c>
      <c r="L164" s="30"/>
      <c r="M164" s="30"/>
      <c r="N164" s="31"/>
      <c r="O164" s="48" t="s">
        <v>174</v>
      </c>
      <c r="P164" s="30"/>
      <c r="Q164" s="31"/>
      <c r="R164" s="49"/>
      <c r="S164" s="31"/>
      <c r="T164" s="48" t="s">
        <v>175</v>
      </c>
      <c r="U164" s="31"/>
      <c r="V164" s="49"/>
      <c r="W164" s="31"/>
      <c r="X164" s="47" t="s">
        <v>387</v>
      </c>
      <c r="Y164" s="31"/>
    </row>
    <row r="165" ht="34.5" customHeight="1">
      <c r="A165" s="45">
        <v>4.0</v>
      </c>
      <c r="B165" s="46" t="s">
        <v>388</v>
      </c>
      <c r="C165" s="47" t="s">
        <v>389</v>
      </c>
      <c r="D165" s="30"/>
      <c r="E165" s="30"/>
      <c r="F165" s="31"/>
      <c r="G165" s="48" t="s">
        <v>179</v>
      </c>
      <c r="H165" s="30"/>
      <c r="I165" s="30"/>
      <c r="J165" s="31"/>
      <c r="K165" s="48" t="s">
        <v>276</v>
      </c>
      <c r="L165" s="30"/>
      <c r="M165" s="30"/>
      <c r="N165" s="31"/>
      <c r="O165" s="48" t="s">
        <v>174</v>
      </c>
      <c r="P165" s="30"/>
      <c r="Q165" s="31"/>
      <c r="R165" s="49"/>
      <c r="S165" s="31"/>
      <c r="T165" s="49"/>
      <c r="U165" s="31"/>
      <c r="V165" s="49"/>
      <c r="W165" s="31"/>
      <c r="X165" s="49"/>
      <c r="Y165" s="31"/>
    </row>
    <row r="166" ht="34.5" customHeight="1">
      <c r="A166" s="45">
        <v>5.0</v>
      </c>
      <c r="B166" s="46" t="s">
        <v>390</v>
      </c>
      <c r="C166" s="47" t="s">
        <v>391</v>
      </c>
      <c r="D166" s="30"/>
      <c r="E166" s="30"/>
      <c r="F166" s="31"/>
      <c r="G166" s="48" t="s">
        <v>179</v>
      </c>
      <c r="H166" s="30"/>
      <c r="I166" s="30"/>
      <c r="J166" s="31"/>
      <c r="K166" s="48" t="s">
        <v>332</v>
      </c>
      <c r="L166" s="30"/>
      <c r="M166" s="30"/>
      <c r="N166" s="31"/>
      <c r="O166" s="48" t="s">
        <v>184</v>
      </c>
      <c r="P166" s="30"/>
      <c r="Q166" s="31"/>
      <c r="R166" s="49"/>
      <c r="S166" s="31"/>
      <c r="T166" s="49"/>
      <c r="U166" s="31"/>
      <c r="V166" s="49"/>
      <c r="W166" s="31"/>
      <c r="X166" s="49"/>
      <c r="Y166" s="31"/>
    </row>
    <row r="167" ht="34.5" customHeight="1">
      <c r="A167" s="45">
        <v>6.0</v>
      </c>
      <c r="B167" s="46" t="s">
        <v>392</v>
      </c>
      <c r="C167" s="47" t="s">
        <v>393</v>
      </c>
      <c r="D167" s="30"/>
      <c r="E167" s="30"/>
      <c r="F167" s="31"/>
      <c r="G167" s="48" t="s">
        <v>394</v>
      </c>
      <c r="H167" s="30"/>
      <c r="I167" s="30"/>
      <c r="J167" s="31"/>
      <c r="K167" s="48" t="s">
        <v>395</v>
      </c>
      <c r="L167" s="30"/>
      <c r="M167" s="30"/>
      <c r="N167" s="31"/>
      <c r="O167" s="48" t="s">
        <v>174</v>
      </c>
      <c r="P167" s="30"/>
      <c r="Q167" s="31"/>
      <c r="R167" s="49"/>
      <c r="S167" s="31"/>
      <c r="T167" s="49"/>
      <c r="U167" s="31"/>
      <c r="V167" s="49"/>
      <c r="W167" s="31"/>
      <c r="X167" s="47" t="s">
        <v>396</v>
      </c>
      <c r="Y167" s="31"/>
    </row>
    <row r="168" ht="34.5" customHeight="1">
      <c r="A168" s="45">
        <v>7.0</v>
      </c>
      <c r="B168" s="46" t="s">
        <v>397</v>
      </c>
      <c r="C168" s="47" t="s">
        <v>398</v>
      </c>
      <c r="D168" s="30"/>
      <c r="E168" s="30"/>
      <c r="F168" s="31"/>
      <c r="G168" s="48" t="s">
        <v>200</v>
      </c>
      <c r="H168" s="30"/>
      <c r="I168" s="30"/>
      <c r="J168" s="31"/>
      <c r="K168" s="48" t="s">
        <v>201</v>
      </c>
      <c r="L168" s="30"/>
      <c r="M168" s="30"/>
      <c r="N168" s="31"/>
      <c r="O168" s="48" t="s">
        <v>184</v>
      </c>
      <c r="P168" s="30"/>
      <c r="Q168" s="31"/>
      <c r="R168" s="49"/>
      <c r="S168" s="31"/>
      <c r="T168" s="49"/>
      <c r="U168" s="31"/>
      <c r="V168" s="49"/>
      <c r="W168" s="31"/>
      <c r="X168" s="47" t="s">
        <v>399</v>
      </c>
      <c r="Y168" s="31"/>
    </row>
    <row r="169" ht="34.5" customHeight="1">
      <c r="A169" s="45">
        <v>8.0</v>
      </c>
      <c r="B169" s="46" t="s">
        <v>400</v>
      </c>
      <c r="C169" s="47" t="s">
        <v>401</v>
      </c>
      <c r="D169" s="30"/>
      <c r="E169" s="30"/>
      <c r="F169" s="31"/>
      <c r="G169" s="48" t="s">
        <v>179</v>
      </c>
      <c r="H169" s="30"/>
      <c r="I169" s="30"/>
      <c r="J169" s="31"/>
      <c r="K169" s="48" t="s">
        <v>314</v>
      </c>
      <c r="L169" s="30"/>
      <c r="M169" s="30"/>
      <c r="N169" s="31"/>
      <c r="O169" s="48" t="s">
        <v>184</v>
      </c>
      <c r="P169" s="30"/>
      <c r="Q169" s="31"/>
      <c r="R169" s="49"/>
      <c r="S169" s="31"/>
      <c r="T169" s="49"/>
      <c r="U169" s="31"/>
      <c r="V169" s="49"/>
      <c r="W169" s="31"/>
      <c r="X169" s="49"/>
      <c r="Y169" s="31"/>
    </row>
    <row r="170" ht="34.5" customHeight="1">
      <c r="A170" s="45">
        <v>9.0</v>
      </c>
      <c r="B170" s="46" t="s">
        <v>402</v>
      </c>
      <c r="C170" s="47" t="s">
        <v>403</v>
      </c>
      <c r="D170" s="30"/>
      <c r="E170" s="30"/>
      <c r="F170" s="31"/>
      <c r="G170" s="48" t="s">
        <v>59</v>
      </c>
      <c r="H170" s="30"/>
      <c r="I170" s="30"/>
      <c r="J170" s="31"/>
      <c r="K170" s="48" t="s">
        <v>187</v>
      </c>
      <c r="L170" s="30"/>
      <c r="M170" s="30"/>
      <c r="N170" s="31"/>
      <c r="O170" s="48" t="s">
        <v>174</v>
      </c>
      <c r="P170" s="30"/>
      <c r="Q170" s="31"/>
      <c r="R170" s="49"/>
      <c r="S170" s="31"/>
      <c r="T170" s="49"/>
      <c r="U170" s="31"/>
      <c r="V170" s="49"/>
      <c r="W170" s="31"/>
      <c r="X170" s="47" t="s">
        <v>188</v>
      </c>
      <c r="Y170" s="31"/>
    </row>
    <row r="171" ht="34.5" customHeight="1">
      <c r="A171" s="45">
        <v>10.0</v>
      </c>
      <c r="B171" s="46" t="s">
        <v>320</v>
      </c>
      <c r="C171" s="47" t="s">
        <v>404</v>
      </c>
      <c r="D171" s="30"/>
      <c r="E171" s="30"/>
      <c r="F171" s="31"/>
      <c r="G171" s="48" t="s">
        <v>89</v>
      </c>
      <c r="H171" s="30"/>
      <c r="I171" s="30"/>
      <c r="J171" s="31"/>
      <c r="K171" s="48" t="s">
        <v>230</v>
      </c>
      <c r="L171" s="30"/>
      <c r="M171" s="30"/>
      <c r="N171" s="31"/>
      <c r="O171" s="48" t="s">
        <v>174</v>
      </c>
      <c r="P171" s="30"/>
      <c r="Q171" s="31"/>
      <c r="R171" s="49"/>
      <c r="S171" s="31"/>
      <c r="T171" s="49"/>
      <c r="U171" s="31"/>
      <c r="V171" s="49"/>
      <c r="W171" s="31"/>
      <c r="X171" s="47" t="s">
        <v>231</v>
      </c>
      <c r="Y171" s="31"/>
    </row>
    <row r="172" ht="34.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 ht="34.5" customHeight="1">
      <c r="A173" s="51">
        <v>16.0</v>
      </c>
      <c r="B173" s="52" t="s">
        <v>4</v>
      </c>
      <c r="C173" s="53" t="str">
        <f>B19</f>
        <v>solicitud_servicio</v>
      </c>
      <c r="D173" s="30"/>
      <c r="E173" s="30"/>
      <c r="F173" s="31"/>
      <c r="G173" s="52" t="s">
        <v>6</v>
      </c>
      <c r="H173" s="30"/>
      <c r="I173" s="30"/>
      <c r="J173" s="31"/>
      <c r="K173" s="54" t="str">
        <f>F19</f>
        <v>Traza de cada contratación de un servicio por parte de otro usuario, con estado y valor acordado.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1"/>
      <c r="X173" s="55" t="s">
        <v>159</v>
      </c>
      <c r="Y173" s="56" t="s">
        <v>160</v>
      </c>
    </row>
    <row r="174" ht="34.5" customHeight="1">
      <c r="A174" s="55" t="s">
        <v>3</v>
      </c>
      <c r="B174" s="55" t="s">
        <v>161</v>
      </c>
      <c r="C174" s="52" t="s">
        <v>162</v>
      </c>
      <c r="D174" s="30"/>
      <c r="E174" s="30"/>
      <c r="F174" s="31"/>
      <c r="G174" s="52" t="s">
        <v>163</v>
      </c>
      <c r="H174" s="30"/>
      <c r="I174" s="30"/>
      <c r="J174" s="31"/>
      <c r="K174" s="52" t="s">
        <v>164</v>
      </c>
      <c r="L174" s="30"/>
      <c r="M174" s="30"/>
      <c r="N174" s="31"/>
      <c r="O174" s="52" t="s">
        <v>165</v>
      </c>
      <c r="P174" s="30"/>
      <c r="Q174" s="31"/>
      <c r="R174" s="52" t="s">
        <v>166</v>
      </c>
      <c r="S174" s="31"/>
      <c r="T174" s="52" t="s">
        <v>167</v>
      </c>
      <c r="U174" s="31"/>
      <c r="V174" s="52" t="s">
        <v>168</v>
      </c>
      <c r="W174" s="31"/>
      <c r="X174" s="52" t="s">
        <v>169</v>
      </c>
      <c r="Y174" s="31"/>
    </row>
    <row r="175" ht="34.5" customHeight="1">
      <c r="A175" s="45">
        <v>1.0</v>
      </c>
      <c r="B175" s="46" t="s">
        <v>405</v>
      </c>
      <c r="C175" s="47" t="s">
        <v>406</v>
      </c>
      <c r="D175" s="30"/>
      <c r="E175" s="30"/>
      <c r="F175" s="31"/>
      <c r="G175" s="48" t="s">
        <v>307</v>
      </c>
      <c r="H175" s="30"/>
      <c r="I175" s="30"/>
      <c r="J175" s="31"/>
      <c r="K175" s="48" t="s">
        <v>230</v>
      </c>
      <c r="L175" s="30"/>
      <c r="M175" s="30"/>
      <c r="N175" s="31"/>
      <c r="O175" s="48" t="s">
        <v>174</v>
      </c>
      <c r="P175" s="30"/>
      <c r="Q175" s="31"/>
      <c r="R175" s="48" t="s">
        <v>175</v>
      </c>
      <c r="S175" s="31"/>
      <c r="T175" s="49"/>
      <c r="U175" s="31"/>
      <c r="V175" s="49"/>
      <c r="W175" s="31"/>
      <c r="X175" s="47" t="s">
        <v>176</v>
      </c>
      <c r="Y175" s="31"/>
    </row>
    <row r="176" ht="34.5" customHeight="1">
      <c r="A176" s="45">
        <v>2.0</v>
      </c>
      <c r="B176" s="46" t="s">
        <v>383</v>
      </c>
      <c r="C176" s="47" t="s">
        <v>407</v>
      </c>
      <c r="D176" s="30"/>
      <c r="E176" s="30"/>
      <c r="F176" s="31"/>
      <c r="G176" s="48" t="s">
        <v>200</v>
      </c>
      <c r="H176" s="30"/>
      <c r="I176" s="30"/>
      <c r="J176" s="31"/>
      <c r="K176" s="48" t="s">
        <v>201</v>
      </c>
      <c r="L176" s="30"/>
      <c r="M176" s="30"/>
      <c r="N176" s="31"/>
      <c r="O176" s="48" t="s">
        <v>174</v>
      </c>
      <c r="P176" s="30"/>
      <c r="Q176" s="31"/>
      <c r="R176" s="49"/>
      <c r="S176" s="31"/>
      <c r="T176" s="48" t="s">
        <v>175</v>
      </c>
      <c r="U176" s="31"/>
      <c r="V176" s="49"/>
      <c r="W176" s="31"/>
      <c r="X176" s="47" t="s">
        <v>408</v>
      </c>
      <c r="Y176" s="31"/>
    </row>
    <row r="177" ht="34.5" customHeight="1">
      <c r="A177" s="45">
        <v>3.0</v>
      </c>
      <c r="B177" s="46" t="s">
        <v>409</v>
      </c>
      <c r="C177" s="47" t="s">
        <v>410</v>
      </c>
      <c r="D177" s="30"/>
      <c r="E177" s="30"/>
      <c r="F177" s="31"/>
      <c r="G177" s="48" t="s">
        <v>200</v>
      </c>
      <c r="H177" s="30"/>
      <c r="I177" s="30"/>
      <c r="J177" s="31"/>
      <c r="K177" s="48" t="s">
        <v>201</v>
      </c>
      <c r="L177" s="30"/>
      <c r="M177" s="30"/>
      <c r="N177" s="31"/>
      <c r="O177" s="48" t="s">
        <v>174</v>
      </c>
      <c r="P177" s="30"/>
      <c r="Q177" s="31"/>
      <c r="R177" s="49"/>
      <c r="S177" s="31"/>
      <c r="T177" s="48" t="s">
        <v>175</v>
      </c>
      <c r="U177" s="31"/>
      <c r="V177" s="49"/>
      <c r="W177" s="31"/>
      <c r="X177" s="47" t="s">
        <v>309</v>
      </c>
      <c r="Y177" s="31"/>
    </row>
    <row r="178" ht="34.5" customHeight="1">
      <c r="A178" s="45">
        <v>4.0</v>
      </c>
      <c r="B178" s="46" t="s">
        <v>411</v>
      </c>
      <c r="C178" s="47" t="s">
        <v>412</v>
      </c>
      <c r="D178" s="30"/>
      <c r="E178" s="30"/>
      <c r="F178" s="31"/>
      <c r="G178" s="48" t="s">
        <v>89</v>
      </c>
      <c r="H178" s="30"/>
      <c r="I178" s="30"/>
      <c r="J178" s="31"/>
      <c r="K178" s="48" t="s">
        <v>230</v>
      </c>
      <c r="L178" s="30"/>
      <c r="M178" s="30"/>
      <c r="N178" s="31"/>
      <c r="O178" s="48" t="s">
        <v>174</v>
      </c>
      <c r="P178" s="30"/>
      <c r="Q178" s="31"/>
      <c r="R178" s="49"/>
      <c r="S178" s="31"/>
      <c r="T178" s="49"/>
      <c r="U178" s="31"/>
      <c r="V178" s="49"/>
      <c r="W178" s="31"/>
      <c r="X178" s="47" t="s">
        <v>231</v>
      </c>
      <c r="Y178" s="31"/>
    </row>
    <row r="179" ht="34.5" customHeight="1">
      <c r="A179" s="45">
        <v>5.0</v>
      </c>
      <c r="B179" s="46" t="s">
        <v>413</v>
      </c>
      <c r="C179" s="47" t="s">
        <v>414</v>
      </c>
      <c r="D179" s="30"/>
      <c r="E179" s="30"/>
      <c r="F179" s="31"/>
      <c r="G179" s="48" t="s">
        <v>179</v>
      </c>
      <c r="H179" s="30"/>
      <c r="I179" s="30"/>
      <c r="J179" s="31"/>
      <c r="K179" s="48" t="s">
        <v>234</v>
      </c>
      <c r="L179" s="30"/>
      <c r="M179" s="30"/>
      <c r="N179" s="31"/>
      <c r="O179" s="48" t="s">
        <v>174</v>
      </c>
      <c r="P179" s="30"/>
      <c r="Q179" s="31"/>
      <c r="R179" s="49"/>
      <c r="S179" s="31"/>
      <c r="T179" s="49"/>
      <c r="U179" s="31"/>
      <c r="V179" s="49"/>
      <c r="W179" s="31"/>
      <c r="X179" s="47" t="s">
        <v>415</v>
      </c>
      <c r="Y179" s="31"/>
    </row>
    <row r="180" ht="34.5" customHeight="1">
      <c r="A180" s="45">
        <v>6.0</v>
      </c>
      <c r="B180" s="46" t="s">
        <v>416</v>
      </c>
      <c r="C180" s="47" t="s">
        <v>417</v>
      </c>
      <c r="D180" s="30"/>
      <c r="E180" s="30"/>
      <c r="F180" s="31"/>
      <c r="G180" s="48" t="s">
        <v>394</v>
      </c>
      <c r="H180" s="30"/>
      <c r="I180" s="30"/>
      <c r="J180" s="31"/>
      <c r="K180" s="48" t="s">
        <v>395</v>
      </c>
      <c r="L180" s="30"/>
      <c r="M180" s="30"/>
      <c r="N180" s="31"/>
      <c r="O180" s="48" t="s">
        <v>174</v>
      </c>
      <c r="P180" s="30"/>
      <c r="Q180" s="31"/>
      <c r="R180" s="49"/>
      <c r="S180" s="31"/>
      <c r="T180" s="49"/>
      <c r="U180" s="31"/>
      <c r="V180" s="49"/>
      <c r="W180" s="31"/>
      <c r="X180" s="47" t="s">
        <v>418</v>
      </c>
      <c r="Y180" s="31"/>
    </row>
    <row r="181" ht="34.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ht="34.5" customHeight="1">
      <c r="A182" s="51">
        <v>17.0</v>
      </c>
      <c r="B182" s="52" t="s">
        <v>4</v>
      </c>
      <c r="C182" s="53" t="str">
        <f>B20</f>
        <v>calificacion</v>
      </c>
      <c r="D182" s="30"/>
      <c r="E182" s="30"/>
      <c r="F182" s="31"/>
      <c r="G182" s="52" t="s">
        <v>6</v>
      </c>
      <c r="H182" s="30"/>
      <c r="I182" s="30"/>
      <c r="J182" s="31"/>
      <c r="K182" s="54" t="str">
        <f>F20</f>
        <v>Valoración (1 a 5) y reseña que deja quien contrató un servicio, una por solicitud.</v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1"/>
      <c r="X182" s="55" t="s">
        <v>159</v>
      </c>
      <c r="Y182" s="56" t="s">
        <v>160</v>
      </c>
    </row>
    <row r="183" ht="34.5" customHeight="1">
      <c r="A183" s="55" t="s">
        <v>3</v>
      </c>
      <c r="B183" s="55" t="s">
        <v>161</v>
      </c>
      <c r="C183" s="52" t="s">
        <v>162</v>
      </c>
      <c r="D183" s="30"/>
      <c r="E183" s="30"/>
      <c r="F183" s="31"/>
      <c r="G183" s="52" t="s">
        <v>163</v>
      </c>
      <c r="H183" s="30"/>
      <c r="I183" s="30"/>
      <c r="J183" s="31"/>
      <c r="K183" s="52" t="s">
        <v>164</v>
      </c>
      <c r="L183" s="30"/>
      <c r="M183" s="30"/>
      <c r="N183" s="31"/>
      <c r="O183" s="52" t="s">
        <v>165</v>
      </c>
      <c r="P183" s="30"/>
      <c r="Q183" s="31"/>
      <c r="R183" s="52" t="s">
        <v>166</v>
      </c>
      <c r="S183" s="31"/>
      <c r="T183" s="52" t="s">
        <v>167</v>
      </c>
      <c r="U183" s="31"/>
      <c r="V183" s="52" t="s">
        <v>168</v>
      </c>
      <c r="W183" s="31"/>
      <c r="X183" s="52" t="s">
        <v>169</v>
      </c>
      <c r="Y183" s="31"/>
    </row>
    <row r="184" ht="34.5" customHeight="1">
      <c r="A184" s="45">
        <v>1.0</v>
      </c>
      <c r="B184" s="46" t="s">
        <v>405</v>
      </c>
      <c r="C184" s="47" t="s">
        <v>419</v>
      </c>
      <c r="D184" s="30"/>
      <c r="E184" s="30"/>
      <c r="F184" s="31"/>
      <c r="G184" s="48" t="s">
        <v>307</v>
      </c>
      <c r="H184" s="30"/>
      <c r="I184" s="30"/>
      <c r="J184" s="31"/>
      <c r="K184" s="48" t="s">
        <v>230</v>
      </c>
      <c r="L184" s="30"/>
      <c r="M184" s="30"/>
      <c r="N184" s="31"/>
      <c r="O184" s="48" t="s">
        <v>174</v>
      </c>
      <c r="P184" s="30"/>
      <c r="Q184" s="31"/>
      <c r="R184" s="48" t="s">
        <v>175</v>
      </c>
      <c r="S184" s="31"/>
      <c r="T184" s="48" t="s">
        <v>175</v>
      </c>
      <c r="U184" s="31"/>
      <c r="V184" s="49"/>
      <c r="W184" s="31"/>
      <c r="X184" s="47" t="s">
        <v>420</v>
      </c>
      <c r="Y184" s="31"/>
    </row>
    <row r="185" ht="34.5" customHeight="1">
      <c r="A185" s="45">
        <v>2.0</v>
      </c>
      <c r="B185" s="46" t="s">
        <v>421</v>
      </c>
      <c r="C185" s="47" t="s">
        <v>422</v>
      </c>
      <c r="D185" s="30"/>
      <c r="E185" s="30"/>
      <c r="F185" s="31"/>
      <c r="G185" s="48" t="s">
        <v>172</v>
      </c>
      <c r="H185" s="30"/>
      <c r="I185" s="30"/>
      <c r="J185" s="31"/>
      <c r="K185" s="48" t="s">
        <v>173</v>
      </c>
      <c r="L185" s="30"/>
      <c r="M185" s="30"/>
      <c r="N185" s="31"/>
      <c r="O185" s="48" t="s">
        <v>174</v>
      </c>
      <c r="P185" s="30"/>
      <c r="Q185" s="31"/>
      <c r="R185" s="49"/>
      <c r="S185" s="31"/>
      <c r="T185" s="49"/>
      <c r="U185" s="31"/>
      <c r="V185" s="49"/>
      <c r="W185" s="31"/>
      <c r="X185" s="47" t="s">
        <v>423</v>
      </c>
      <c r="Y185" s="31"/>
    </row>
    <row r="186" ht="34.5" customHeight="1">
      <c r="A186" s="45">
        <v>3.0</v>
      </c>
      <c r="B186" s="46" t="s">
        <v>424</v>
      </c>
      <c r="C186" s="47" t="s">
        <v>425</v>
      </c>
      <c r="D186" s="30"/>
      <c r="E186" s="30"/>
      <c r="F186" s="31"/>
      <c r="G186" s="48" t="s">
        <v>179</v>
      </c>
      <c r="H186" s="30"/>
      <c r="I186" s="30"/>
      <c r="J186" s="31"/>
      <c r="K186" s="48" t="s">
        <v>257</v>
      </c>
      <c r="L186" s="30"/>
      <c r="M186" s="30"/>
      <c r="N186" s="31"/>
      <c r="O186" s="48" t="s">
        <v>184</v>
      </c>
      <c r="P186" s="30"/>
      <c r="Q186" s="31"/>
      <c r="R186" s="49"/>
      <c r="S186" s="31"/>
      <c r="T186" s="49"/>
      <c r="U186" s="31"/>
      <c r="V186" s="49"/>
      <c r="W186" s="31"/>
      <c r="X186" s="49"/>
      <c r="Y186" s="31"/>
    </row>
    <row r="187" ht="34.5" customHeight="1">
      <c r="A187" s="45">
        <v>4.0</v>
      </c>
      <c r="B187" s="46" t="s">
        <v>426</v>
      </c>
      <c r="C187" s="47" t="s">
        <v>427</v>
      </c>
      <c r="D187" s="30"/>
      <c r="E187" s="30"/>
      <c r="F187" s="31"/>
      <c r="G187" s="48" t="s">
        <v>89</v>
      </c>
      <c r="H187" s="30"/>
      <c r="I187" s="30"/>
      <c r="J187" s="31"/>
      <c r="K187" s="48" t="s">
        <v>230</v>
      </c>
      <c r="L187" s="30"/>
      <c r="M187" s="30"/>
      <c r="N187" s="31"/>
      <c r="O187" s="48" t="s">
        <v>174</v>
      </c>
      <c r="P187" s="30"/>
      <c r="Q187" s="31"/>
      <c r="R187" s="49"/>
      <c r="S187" s="31"/>
      <c r="T187" s="49"/>
      <c r="U187" s="31"/>
      <c r="V187" s="49"/>
      <c r="W187" s="31"/>
      <c r="X187" s="47" t="s">
        <v>231</v>
      </c>
      <c r="Y187" s="31"/>
    </row>
    <row r="188" ht="34.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 ht="34.5" customHeight="1">
      <c r="A189" s="51">
        <v>18.0</v>
      </c>
      <c r="B189" s="52" t="s">
        <v>4</v>
      </c>
      <c r="C189" s="53" t="str">
        <f>B21</f>
        <v>tipo_producto</v>
      </c>
      <c r="D189" s="30"/>
      <c r="E189" s="30"/>
      <c r="F189" s="31"/>
      <c r="G189" s="52" t="s">
        <v>6</v>
      </c>
      <c r="H189" s="30"/>
      <c r="I189" s="30"/>
      <c r="J189" s="31"/>
      <c r="K189" s="54" t="str">
        <f>F21</f>
        <v>Catálogo de categorías de producto definido por la administración (papelería, libros, ropa, tickets...).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1"/>
      <c r="X189" s="55" t="s">
        <v>159</v>
      </c>
      <c r="Y189" s="56" t="s">
        <v>160</v>
      </c>
    </row>
    <row r="190" ht="34.5" customHeight="1">
      <c r="A190" s="55" t="s">
        <v>3</v>
      </c>
      <c r="B190" s="55" t="s">
        <v>161</v>
      </c>
      <c r="C190" s="52" t="s">
        <v>162</v>
      </c>
      <c r="D190" s="30"/>
      <c r="E190" s="30"/>
      <c r="F190" s="31"/>
      <c r="G190" s="52" t="s">
        <v>163</v>
      </c>
      <c r="H190" s="30"/>
      <c r="I190" s="30"/>
      <c r="J190" s="31"/>
      <c r="K190" s="52" t="s">
        <v>164</v>
      </c>
      <c r="L190" s="30"/>
      <c r="M190" s="30"/>
      <c r="N190" s="31"/>
      <c r="O190" s="52" t="s">
        <v>165</v>
      </c>
      <c r="P190" s="30"/>
      <c r="Q190" s="31"/>
      <c r="R190" s="52" t="s">
        <v>166</v>
      </c>
      <c r="S190" s="31"/>
      <c r="T190" s="52" t="s">
        <v>167</v>
      </c>
      <c r="U190" s="31"/>
      <c r="V190" s="52" t="s">
        <v>168</v>
      </c>
      <c r="W190" s="31"/>
      <c r="X190" s="52" t="s">
        <v>169</v>
      </c>
      <c r="Y190" s="31"/>
    </row>
    <row r="191" ht="34.5" customHeight="1">
      <c r="A191" s="45">
        <v>1.0</v>
      </c>
      <c r="B191" s="46" t="s">
        <v>428</v>
      </c>
      <c r="C191" s="47" t="s">
        <v>429</v>
      </c>
      <c r="D191" s="30"/>
      <c r="E191" s="30"/>
      <c r="F191" s="31"/>
      <c r="G191" s="48" t="s">
        <v>172</v>
      </c>
      <c r="H191" s="30"/>
      <c r="I191" s="30"/>
      <c r="J191" s="31"/>
      <c r="K191" s="48" t="s">
        <v>173</v>
      </c>
      <c r="L191" s="30"/>
      <c r="M191" s="30"/>
      <c r="N191" s="31"/>
      <c r="O191" s="48" t="s">
        <v>174</v>
      </c>
      <c r="P191" s="30"/>
      <c r="Q191" s="31"/>
      <c r="R191" s="48" t="s">
        <v>175</v>
      </c>
      <c r="S191" s="31"/>
      <c r="T191" s="49"/>
      <c r="U191" s="31"/>
      <c r="V191" s="49"/>
      <c r="W191" s="31"/>
      <c r="X191" s="47" t="s">
        <v>176</v>
      </c>
      <c r="Y191" s="31"/>
    </row>
    <row r="192" ht="34.5" customHeight="1">
      <c r="A192" s="45">
        <v>2.0</v>
      </c>
      <c r="B192" s="46" t="s">
        <v>375</v>
      </c>
      <c r="C192" s="47" t="s">
        <v>430</v>
      </c>
      <c r="D192" s="30"/>
      <c r="E192" s="30"/>
      <c r="F192" s="31"/>
      <c r="G192" s="48" t="s">
        <v>200</v>
      </c>
      <c r="H192" s="30"/>
      <c r="I192" s="30"/>
      <c r="J192" s="31"/>
      <c r="K192" s="48" t="s">
        <v>201</v>
      </c>
      <c r="L192" s="30"/>
      <c r="M192" s="30"/>
      <c r="N192" s="31"/>
      <c r="O192" s="48" t="s">
        <v>174</v>
      </c>
      <c r="P192" s="30"/>
      <c r="Q192" s="31"/>
      <c r="R192" s="49"/>
      <c r="S192" s="31"/>
      <c r="T192" s="48" t="s">
        <v>175</v>
      </c>
      <c r="U192" s="31"/>
      <c r="V192" s="49"/>
      <c r="W192" s="31"/>
      <c r="X192" s="47" t="s">
        <v>309</v>
      </c>
      <c r="Y192" s="31"/>
    </row>
    <row r="193" ht="34.5" customHeight="1">
      <c r="A193" s="45">
        <v>3.0</v>
      </c>
      <c r="B193" s="46" t="s">
        <v>431</v>
      </c>
      <c r="C193" s="47" t="s">
        <v>378</v>
      </c>
      <c r="D193" s="30"/>
      <c r="E193" s="30"/>
      <c r="F193" s="31"/>
      <c r="G193" s="48" t="s">
        <v>179</v>
      </c>
      <c r="H193" s="30"/>
      <c r="I193" s="30"/>
      <c r="J193" s="31"/>
      <c r="K193" s="48" t="s">
        <v>215</v>
      </c>
      <c r="L193" s="30"/>
      <c r="M193" s="30"/>
      <c r="N193" s="31"/>
      <c r="O193" s="48" t="s">
        <v>174</v>
      </c>
      <c r="P193" s="30"/>
      <c r="Q193" s="31"/>
      <c r="R193" s="49"/>
      <c r="S193" s="31"/>
      <c r="T193" s="49"/>
      <c r="U193" s="31"/>
      <c r="V193" s="48" t="s">
        <v>175</v>
      </c>
      <c r="W193" s="31"/>
      <c r="X193" s="49"/>
      <c r="Y193" s="31"/>
    </row>
    <row r="194" ht="34.5" customHeight="1">
      <c r="A194" s="45">
        <v>4.0</v>
      </c>
      <c r="B194" s="46" t="s">
        <v>432</v>
      </c>
      <c r="C194" s="47" t="s">
        <v>380</v>
      </c>
      <c r="D194" s="30"/>
      <c r="E194" s="30"/>
      <c r="F194" s="31"/>
      <c r="G194" s="48" t="s">
        <v>179</v>
      </c>
      <c r="H194" s="30"/>
      <c r="I194" s="30"/>
      <c r="J194" s="31"/>
      <c r="K194" s="48" t="s">
        <v>183</v>
      </c>
      <c r="L194" s="30"/>
      <c r="M194" s="30"/>
      <c r="N194" s="31"/>
      <c r="O194" s="48" t="s">
        <v>184</v>
      </c>
      <c r="P194" s="30"/>
      <c r="Q194" s="31"/>
      <c r="R194" s="49"/>
      <c r="S194" s="31"/>
      <c r="T194" s="49"/>
      <c r="U194" s="31"/>
      <c r="V194" s="49"/>
      <c r="W194" s="31"/>
      <c r="X194" s="49"/>
      <c r="Y194" s="31"/>
    </row>
    <row r="195" ht="34.5" customHeight="1">
      <c r="A195" s="45">
        <v>5.0</v>
      </c>
      <c r="B195" s="46" t="s">
        <v>433</v>
      </c>
      <c r="C195" s="47" t="s">
        <v>382</v>
      </c>
      <c r="D195" s="30"/>
      <c r="E195" s="30"/>
      <c r="F195" s="31"/>
      <c r="G195" s="48" t="s">
        <v>59</v>
      </c>
      <c r="H195" s="30"/>
      <c r="I195" s="30"/>
      <c r="J195" s="31"/>
      <c r="K195" s="48" t="s">
        <v>187</v>
      </c>
      <c r="L195" s="30"/>
      <c r="M195" s="30"/>
      <c r="N195" s="31"/>
      <c r="O195" s="48" t="s">
        <v>174</v>
      </c>
      <c r="P195" s="30"/>
      <c r="Q195" s="31"/>
      <c r="R195" s="49"/>
      <c r="S195" s="31"/>
      <c r="T195" s="49"/>
      <c r="U195" s="31"/>
      <c r="V195" s="49"/>
      <c r="W195" s="31"/>
      <c r="X195" s="47" t="s">
        <v>188</v>
      </c>
      <c r="Y195" s="31"/>
    </row>
    <row r="196" ht="34.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 ht="34.5" customHeight="1">
      <c r="A197" s="51">
        <v>19.0</v>
      </c>
      <c r="B197" s="52" t="s">
        <v>4</v>
      </c>
      <c r="C197" s="53" t="str">
        <f>B22</f>
        <v>producto</v>
      </c>
      <c r="D197" s="30"/>
      <c r="E197" s="30"/>
      <c r="F197" s="31"/>
      <c r="G197" s="52" t="s">
        <v>6</v>
      </c>
      <c r="H197" s="30"/>
      <c r="I197" s="30"/>
      <c r="J197" s="31"/>
      <c r="K197" s="54" t="str">
        <f>F22</f>
        <v>Artículo que un usuario publica para la venta, con precio, existencias y condición.</v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1"/>
      <c r="X197" s="55" t="s">
        <v>159</v>
      </c>
      <c r="Y197" s="56" t="s">
        <v>160</v>
      </c>
    </row>
    <row r="198" ht="34.5" customHeight="1">
      <c r="A198" s="55" t="s">
        <v>3</v>
      </c>
      <c r="B198" s="55" t="s">
        <v>161</v>
      </c>
      <c r="C198" s="52" t="s">
        <v>162</v>
      </c>
      <c r="D198" s="30"/>
      <c r="E198" s="30"/>
      <c r="F198" s="31"/>
      <c r="G198" s="52" t="s">
        <v>163</v>
      </c>
      <c r="H198" s="30"/>
      <c r="I198" s="30"/>
      <c r="J198" s="31"/>
      <c r="K198" s="52" t="s">
        <v>164</v>
      </c>
      <c r="L198" s="30"/>
      <c r="M198" s="30"/>
      <c r="N198" s="31"/>
      <c r="O198" s="52" t="s">
        <v>165</v>
      </c>
      <c r="P198" s="30"/>
      <c r="Q198" s="31"/>
      <c r="R198" s="52" t="s">
        <v>166</v>
      </c>
      <c r="S198" s="31"/>
      <c r="T198" s="52" t="s">
        <v>167</v>
      </c>
      <c r="U198" s="31"/>
      <c r="V198" s="52" t="s">
        <v>168</v>
      </c>
      <c r="W198" s="31"/>
      <c r="X198" s="52" t="s">
        <v>169</v>
      </c>
      <c r="Y198" s="31"/>
    </row>
    <row r="199" ht="34.5" customHeight="1">
      <c r="A199" s="45">
        <v>1.0</v>
      </c>
      <c r="B199" s="46" t="s">
        <v>434</v>
      </c>
      <c r="C199" s="47" t="s">
        <v>435</v>
      </c>
      <c r="D199" s="30"/>
      <c r="E199" s="30"/>
      <c r="F199" s="31"/>
      <c r="G199" s="48" t="s">
        <v>200</v>
      </c>
      <c r="H199" s="30"/>
      <c r="I199" s="30"/>
      <c r="J199" s="31"/>
      <c r="K199" s="48" t="s">
        <v>201</v>
      </c>
      <c r="L199" s="30"/>
      <c r="M199" s="30"/>
      <c r="N199" s="31"/>
      <c r="O199" s="48" t="s">
        <v>174</v>
      </c>
      <c r="P199" s="30"/>
      <c r="Q199" s="31"/>
      <c r="R199" s="48" t="s">
        <v>175</v>
      </c>
      <c r="S199" s="31"/>
      <c r="T199" s="49"/>
      <c r="U199" s="31"/>
      <c r="V199" s="49"/>
      <c r="W199" s="31"/>
      <c r="X199" s="47" t="s">
        <v>176</v>
      </c>
      <c r="Y199" s="31"/>
    </row>
    <row r="200" ht="34.5" customHeight="1">
      <c r="A200" s="45">
        <v>2.0</v>
      </c>
      <c r="B200" s="46" t="s">
        <v>198</v>
      </c>
      <c r="C200" s="47" t="s">
        <v>436</v>
      </c>
      <c r="D200" s="30"/>
      <c r="E200" s="30"/>
      <c r="F200" s="31"/>
      <c r="G200" s="48" t="s">
        <v>200</v>
      </c>
      <c r="H200" s="30"/>
      <c r="I200" s="30"/>
      <c r="J200" s="31"/>
      <c r="K200" s="48" t="s">
        <v>201</v>
      </c>
      <c r="L200" s="30"/>
      <c r="M200" s="30"/>
      <c r="N200" s="31"/>
      <c r="O200" s="48" t="s">
        <v>174</v>
      </c>
      <c r="P200" s="30"/>
      <c r="Q200" s="31"/>
      <c r="R200" s="49"/>
      <c r="S200" s="31"/>
      <c r="T200" s="48" t="s">
        <v>175</v>
      </c>
      <c r="U200" s="31"/>
      <c r="V200" s="49"/>
      <c r="W200" s="31"/>
      <c r="X200" s="47" t="s">
        <v>309</v>
      </c>
      <c r="Y200" s="31"/>
    </row>
    <row r="201" ht="34.5" customHeight="1">
      <c r="A201" s="45">
        <v>3.0</v>
      </c>
      <c r="B201" s="46" t="s">
        <v>428</v>
      </c>
      <c r="C201" s="47" t="s">
        <v>437</v>
      </c>
      <c r="D201" s="30"/>
      <c r="E201" s="30"/>
      <c r="F201" s="31"/>
      <c r="G201" s="48" t="s">
        <v>172</v>
      </c>
      <c r="H201" s="30"/>
      <c r="I201" s="30"/>
      <c r="J201" s="31"/>
      <c r="K201" s="48" t="s">
        <v>173</v>
      </c>
      <c r="L201" s="30"/>
      <c r="M201" s="30"/>
      <c r="N201" s="31"/>
      <c r="O201" s="48" t="s">
        <v>174</v>
      </c>
      <c r="P201" s="30"/>
      <c r="Q201" s="31"/>
      <c r="R201" s="49"/>
      <c r="S201" s="31"/>
      <c r="T201" s="48" t="s">
        <v>175</v>
      </c>
      <c r="U201" s="31"/>
      <c r="V201" s="49"/>
      <c r="W201" s="31"/>
      <c r="X201" s="47" t="s">
        <v>438</v>
      </c>
      <c r="Y201" s="31"/>
    </row>
    <row r="202" ht="34.5" customHeight="1">
      <c r="A202" s="45">
        <v>4.0</v>
      </c>
      <c r="B202" s="46" t="s">
        <v>439</v>
      </c>
      <c r="C202" s="47" t="s">
        <v>440</v>
      </c>
      <c r="D202" s="30"/>
      <c r="E202" s="30"/>
      <c r="F202" s="31"/>
      <c r="G202" s="48" t="s">
        <v>179</v>
      </c>
      <c r="H202" s="30"/>
      <c r="I202" s="30"/>
      <c r="J202" s="31"/>
      <c r="K202" s="48" t="s">
        <v>276</v>
      </c>
      <c r="L202" s="30"/>
      <c r="M202" s="30"/>
      <c r="N202" s="31"/>
      <c r="O202" s="48" t="s">
        <v>174</v>
      </c>
      <c r="P202" s="30"/>
      <c r="Q202" s="31"/>
      <c r="R202" s="49"/>
      <c r="S202" s="31"/>
      <c r="T202" s="49"/>
      <c r="U202" s="31"/>
      <c r="V202" s="49"/>
      <c r="W202" s="31"/>
      <c r="X202" s="49"/>
      <c r="Y202" s="31"/>
    </row>
    <row r="203" ht="34.5" customHeight="1">
      <c r="A203" s="45">
        <v>5.0</v>
      </c>
      <c r="B203" s="46" t="s">
        <v>441</v>
      </c>
      <c r="C203" s="47" t="s">
        <v>442</v>
      </c>
      <c r="D203" s="30"/>
      <c r="E203" s="30"/>
      <c r="F203" s="31"/>
      <c r="G203" s="48" t="s">
        <v>179</v>
      </c>
      <c r="H203" s="30"/>
      <c r="I203" s="30"/>
      <c r="J203" s="31"/>
      <c r="K203" s="48" t="s">
        <v>332</v>
      </c>
      <c r="L203" s="30"/>
      <c r="M203" s="30"/>
      <c r="N203" s="31"/>
      <c r="O203" s="48" t="s">
        <v>184</v>
      </c>
      <c r="P203" s="30"/>
      <c r="Q203" s="31"/>
      <c r="R203" s="49"/>
      <c r="S203" s="31"/>
      <c r="T203" s="49"/>
      <c r="U203" s="31"/>
      <c r="V203" s="49"/>
      <c r="W203" s="31"/>
      <c r="X203" s="49"/>
      <c r="Y203" s="31"/>
    </row>
    <row r="204" ht="34.5" customHeight="1">
      <c r="A204" s="45">
        <v>6.0</v>
      </c>
      <c r="B204" s="46" t="s">
        <v>443</v>
      </c>
      <c r="C204" s="47" t="s">
        <v>444</v>
      </c>
      <c r="D204" s="30"/>
      <c r="E204" s="30"/>
      <c r="F204" s="31"/>
      <c r="G204" s="48" t="s">
        <v>394</v>
      </c>
      <c r="H204" s="30"/>
      <c r="I204" s="30"/>
      <c r="J204" s="31"/>
      <c r="K204" s="48" t="s">
        <v>395</v>
      </c>
      <c r="L204" s="30"/>
      <c r="M204" s="30"/>
      <c r="N204" s="31"/>
      <c r="O204" s="48" t="s">
        <v>174</v>
      </c>
      <c r="P204" s="30"/>
      <c r="Q204" s="31"/>
      <c r="R204" s="49"/>
      <c r="S204" s="31"/>
      <c r="T204" s="49"/>
      <c r="U204" s="31"/>
      <c r="V204" s="49"/>
      <c r="W204" s="31"/>
      <c r="X204" s="47" t="s">
        <v>445</v>
      </c>
      <c r="Y204" s="31"/>
    </row>
    <row r="205" ht="34.5" customHeight="1">
      <c r="A205" s="45">
        <v>7.0</v>
      </c>
      <c r="B205" s="46" t="s">
        <v>446</v>
      </c>
      <c r="C205" s="47" t="s">
        <v>447</v>
      </c>
      <c r="D205" s="30"/>
      <c r="E205" s="30"/>
      <c r="F205" s="31"/>
      <c r="G205" s="48" t="s">
        <v>200</v>
      </c>
      <c r="H205" s="30"/>
      <c r="I205" s="30"/>
      <c r="J205" s="31"/>
      <c r="K205" s="48" t="s">
        <v>201</v>
      </c>
      <c r="L205" s="30"/>
      <c r="M205" s="30"/>
      <c r="N205" s="31"/>
      <c r="O205" s="48" t="s">
        <v>174</v>
      </c>
      <c r="P205" s="30"/>
      <c r="Q205" s="31"/>
      <c r="R205" s="49"/>
      <c r="S205" s="31"/>
      <c r="T205" s="49"/>
      <c r="U205" s="31"/>
      <c r="V205" s="49"/>
      <c r="W205" s="31"/>
      <c r="X205" s="47" t="s">
        <v>448</v>
      </c>
      <c r="Y205" s="31"/>
    </row>
    <row r="206" ht="34.5" customHeight="1">
      <c r="A206" s="45">
        <v>8.0</v>
      </c>
      <c r="B206" s="46" t="s">
        <v>449</v>
      </c>
      <c r="C206" s="47" t="s">
        <v>450</v>
      </c>
      <c r="D206" s="30"/>
      <c r="E206" s="30"/>
      <c r="F206" s="31"/>
      <c r="G206" s="48" t="s">
        <v>179</v>
      </c>
      <c r="H206" s="30"/>
      <c r="I206" s="30"/>
      <c r="J206" s="31"/>
      <c r="K206" s="48" t="s">
        <v>451</v>
      </c>
      <c r="L206" s="30"/>
      <c r="M206" s="30"/>
      <c r="N206" s="31"/>
      <c r="O206" s="48" t="s">
        <v>174</v>
      </c>
      <c r="P206" s="30"/>
      <c r="Q206" s="31"/>
      <c r="R206" s="49"/>
      <c r="S206" s="31"/>
      <c r="T206" s="49"/>
      <c r="U206" s="31"/>
      <c r="V206" s="49"/>
      <c r="W206" s="31"/>
      <c r="X206" s="47" t="s">
        <v>452</v>
      </c>
      <c r="Y206" s="31"/>
    </row>
    <row r="207" ht="34.5" customHeight="1">
      <c r="A207" s="45">
        <v>9.0</v>
      </c>
      <c r="B207" s="46" t="s">
        <v>320</v>
      </c>
      <c r="C207" s="47" t="s">
        <v>321</v>
      </c>
      <c r="D207" s="30"/>
      <c r="E207" s="30"/>
      <c r="F207" s="31"/>
      <c r="G207" s="48" t="s">
        <v>89</v>
      </c>
      <c r="H207" s="30"/>
      <c r="I207" s="30"/>
      <c r="J207" s="31"/>
      <c r="K207" s="48" t="s">
        <v>230</v>
      </c>
      <c r="L207" s="30"/>
      <c r="M207" s="30"/>
      <c r="N207" s="31"/>
      <c r="O207" s="48" t="s">
        <v>174</v>
      </c>
      <c r="P207" s="30"/>
      <c r="Q207" s="31"/>
      <c r="R207" s="49"/>
      <c r="S207" s="31"/>
      <c r="T207" s="49"/>
      <c r="U207" s="31"/>
      <c r="V207" s="49"/>
      <c r="W207" s="31"/>
      <c r="X207" s="47" t="s">
        <v>231</v>
      </c>
      <c r="Y207" s="31"/>
    </row>
    <row r="208" ht="34.5" customHeight="1">
      <c r="A208" s="45">
        <v>10.0</v>
      </c>
      <c r="B208" s="46" t="s">
        <v>453</v>
      </c>
      <c r="C208" s="47" t="s">
        <v>454</v>
      </c>
      <c r="D208" s="30"/>
      <c r="E208" s="30"/>
      <c r="F208" s="31"/>
      <c r="G208" s="48" t="s">
        <v>179</v>
      </c>
      <c r="H208" s="30"/>
      <c r="I208" s="30"/>
      <c r="J208" s="31"/>
      <c r="K208" s="48" t="s">
        <v>234</v>
      </c>
      <c r="L208" s="30"/>
      <c r="M208" s="30"/>
      <c r="N208" s="31"/>
      <c r="O208" s="48" t="s">
        <v>174</v>
      </c>
      <c r="P208" s="30"/>
      <c r="Q208" s="31"/>
      <c r="R208" s="49"/>
      <c r="S208" s="31"/>
      <c r="T208" s="49"/>
      <c r="U208" s="31"/>
      <c r="V208" s="49"/>
      <c r="W208" s="31"/>
      <c r="X208" s="47" t="s">
        <v>455</v>
      </c>
      <c r="Y208" s="31"/>
    </row>
    <row r="209" ht="34.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 ht="34.5" customHeight="1">
      <c r="A210" s="51">
        <v>20.0</v>
      </c>
      <c r="B210" s="52" t="s">
        <v>4</v>
      </c>
      <c r="C210" s="53" t="str">
        <f>B23</f>
        <v>compra_producto</v>
      </c>
      <c r="D210" s="30"/>
      <c r="E210" s="30"/>
      <c r="F210" s="31"/>
      <c r="G210" s="52" t="s">
        <v>6</v>
      </c>
      <c r="H210" s="30"/>
      <c r="I210" s="30"/>
      <c r="J210" s="31"/>
      <c r="K210" s="54" t="str">
        <f>F23</f>
        <v>Traza de cada venta de un producto: comprador, cantidad, precio unitario y total.</v>
      </c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1"/>
      <c r="X210" s="55" t="s">
        <v>159</v>
      </c>
      <c r="Y210" s="56" t="s">
        <v>160</v>
      </c>
    </row>
    <row r="211" ht="34.5" customHeight="1">
      <c r="A211" s="55" t="s">
        <v>3</v>
      </c>
      <c r="B211" s="55" t="s">
        <v>161</v>
      </c>
      <c r="C211" s="52" t="s">
        <v>162</v>
      </c>
      <c r="D211" s="30"/>
      <c r="E211" s="30"/>
      <c r="F211" s="31"/>
      <c r="G211" s="52" t="s">
        <v>163</v>
      </c>
      <c r="H211" s="30"/>
      <c r="I211" s="30"/>
      <c r="J211" s="31"/>
      <c r="K211" s="52" t="s">
        <v>164</v>
      </c>
      <c r="L211" s="30"/>
      <c r="M211" s="30"/>
      <c r="N211" s="31"/>
      <c r="O211" s="52" t="s">
        <v>165</v>
      </c>
      <c r="P211" s="30"/>
      <c r="Q211" s="31"/>
      <c r="R211" s="52" t="s">
        <v>166</v>
      </c>
      <c r="S211" s="31"/>
      <c r="T211" s="52" t="s">
        <v>167</v>
      </c>
      <c r="U211" s="31"/>
      <c r="V211" s="52" t="s">
        <v>168</v>
      </c>
      <c r="W211" s="31"/>
      <c r="X211" s="52" t="s">
        <v>169</v>
      </c>
      <c r="Y211" s="31"/>
    </row>
    <row r="212" ht="34.5" customHeight="1">
      <c r="A212" s="45">
        <v>1.0</v>
      </c>
      <c r="B212" s="46" t="s">
        <v>456</v>
      </c>
      <c r="C212" s="47" t="s">
        <v>457</v>
      </c>
      <c r="D212" s="30"/>
      <c r="E212" s="30"/>
      <c r="F212" s="31"/>
      <c r="G212" s="48" t="s">
        <v>307</v>
      </c>
      <c r="H212" s="30"/>
      <c r="I212" s="30"/>
      <c r="J212" s="31"/>
      <c r="K212" s="48" t="s">
        <v>230</v>
      </c>
      <c r="L212" s="30"/>
      <c r="M212" s="30"/>
      <c r="N212" s="31"/>
      <c r="O212" s="48" t="s">
        <v>174</v>
      </c>
      <c r="P212" s="30"/>
      <c r="Q212" s="31"/>
      <c r="R212" s="48" t="s">
        <v>175</v>
      </c>
      <c r="S212" s="31"/>
      <c r="T212" s="49"/>
      <c r="U212" s="31"/>
      <c r="V212" s="49"/>
      <c r="W212" s="31"/>
      <c r="X212" s="47" t="s">
        <v>176</v>
      </c>
      <c r="Y212" s="31"/>
    </row>
    <row r="213" ht="34.5" customHeight="1">
      <c r="A213" s="45">
        <v>2.0</v>
      </c>
      <c r="B213" s="46" t="s">
        <v>434</v>
      </c>
      <c r="C213" s="47" t="s">
        <v>458</v>
      </c>
      <c r="D213" s="30"/>
      <c r="E213" s="30"/>
      <c r="F213" s="31"/>
      <c r="G213" s="48" t="s">
        <v>200</v>
      </c>
      <c r="H213" s="30"/>
      <c r="I213" s="30"/>
      <c r="J213" s="31"/>
      <c r="K213" s="48" t="s">
        <v>201</v>
      </c>
      <c r="L213" s="30"/>
      <c r="M213" s="30"/>
      <c r="N213" s="31"/>
      <c r="O213" s="48" t="s">
        <v>174</v>
      </c>
      <c r="P213" s="30"/>
      <c r="Q213" s="31"/>
      <c r="R213" s="49"/>
      <c r="S213" s="31"/>
      <c r="T213" s="48" t="s">
        <v>175</v>
      </c>
      <c r="U213" s="31"/>
      <c r="V213" s="49"/>
      <c r="W213" s="31"/>
      <c r="X213" s="47" t="s">
        <v>459</v>
      </c>
      <c r="Y213" s="31"/>
    </row>
    <row r="214" ht="34.5" customHeight="1">
      <c r="A214" s="45">
        <v>3.0</v>
      </c>
      <c r="B214" s="46" t="s">
        <v>460</v>
      </c>
      <c r="C214" s="47" t="s">
        <v>461</v>
      </c>
      <c r="D214" s="30"/>
      <c r="E214" s="30"/>
      <c r="F214" s="31"/>
      <c r="G214" s="48" t="s">
        <v>200</v>
      </c>
      <c r="H214" s="30"/>
      <c r="I214" s="30"/>
      <c r="J214" s="31"/>
      <c r="K214" s="48" t="s">
        <v>201</v>
      </c>
      <c r="L214" s="30"/>
      <c r="M214" s="30"/>
      <c r="N214" s="31"/>
      <c r="O214" s="48" t="s">
        <v>174</v>
      </c>
      <c r="P214" s="30"/>
      <c r="Q214" s="31"/>
      <c r="R214" s="49"/>
      <c r="S214" s="31"/>
      <c r="T214" s="48" t="s">
        <v>175</v>
      </c>
      <c r="U214" s="31"/>
      <c r="V214" s="49"/>
      <c r="W214" s="31"/>
      <c r="X214" s="47" t="s">
        <v>309</v>
      </c>
      <c r="Y214" s="31"/>
    </row>
    <row r="215" ht="34.5" customHeight="1">
      <c r="A215" s="45">
        <v>4.0</v>
      </c>
      <c r="B215" s="46" t="s">
        <v>462</v>
      </c>
      <c r="C215" s="47" t="s">
        <v>463</v>
      </c>
      <c r="D215" s="30"/>
      <c r="E215" s="30"/>
      <c r="F215" s="31"/>
      <c r="G215" s="48" t="s">
        <v>89</v>
      </c>
      <c r="H215" s="30"/>
      <c r="I215" s="30"/>
      <c r="J215" s="31"/>
      <c r="K215" s="48" t="s">
        <v>230</v>
      </c>
      <c r="L215" s="30"/>
      <c r="M215" s="30"/>
      <c r="N215" s="31"/>
      <c r="O215" s="48" t="s">
        <v>174</v>
      </c>
      <c r="P215" s="30"/>
      <c r="Q215" s="31"/>
      <c r="R215" s="49"/>
      <c r="S215" s="31"/>
      <c r="T215" s="49"/>
      <c r="U215" s="31"/>
      <c r="V215" s="49"/>
      <c r="W215" s="31"/>
      <c r="X215" s="47" t="s">
        <v>231</v>
      </c>
      <c r="Y215" s="31"/>
    </row>
    <row r="216" ht="34.5" customHeight="1">
      <c r="A216" s="45">
        <v>5.0</v>
      </c>
      <c r="B216" s="46" t="s">
        <v>464</v>
      </c>
      <c r="C216" s="47" t="s">
        <v>465</v>
      </c>
      <c r="D216" s="30"/>
      <c r="E216" s="30"/>
      <c r="F216" s="31"/>
      <c r="G216" s="48" t="s">
        <v>200</v>
      </c>
      <c r="H216" s="30"/>
      <c r="I216" s="30"/>
      <c r="J216" s="31"/>
      <c r="K216" s="48" t="s">
        <v>201</v>
      </c>
      <c r="L216" s="30"/>
      <c r="M216" s="30"/>
      <c r="N216" s="31"/>
      <c r="O216" s="48" t="s">
        <v>174</v>
      </c>
      <c r="P216" s="30"/>
      <c r="Q216" s="31"/>
      <c r="R216" s="49"/>
      <c r="S216" s="31"/>
      <c r="T216" s="49"/>
      <c r="U216" s="31"/>
      <c r="V216" s="49"/>
      <c r="W216" s="31"/>
      <c r="X216" s="47" t="s">
        <v>466</v>
      </c>
      <c r="Y216" s="31"/>
    </row>
    <row r="217" ht="34.5" customHeight="1">
      <c r="A217" s="45">
        <v>6.0</v>
      </c>
      <c r="B217" s="46" t="s">
        <v>467</v>
      </c>
      <c r="C217" s="47" t="s">
        <v>468</v>
      </c>
      <c r="D217" s="30"/>
      <c r="E217" s="30"/>
      <c r="F217" s="31"/>
      <c r="G217" s="48" t="s">
        <v>394</v>
      </c>
      <c r="H217" s="30"/>
      <c r="I217" s="30"/>
      <c r="J217" s="31"/>
      <c r="K217" s="48" t="s">
        <v>395</v>
      </c>
      <c r="L217" s="30"/>
      <c r="M217" s="30"/>
      <c r="N217" s="31"/>
      <c r="O217" s="48" t="s">
        <v>174</v>
      </c>
      <c r="P217" s="30"/>
      <c r="Q217" s="31"/>
      <c r="R217" s="49"/>
      <c r="S217" s="31"/>
      <c r="T217" s="49"/>
      <c r="U217" s="31"/>
      <c r="V217" s="49"/>
      <c r="W217" s="31"/>
      <c r="X217" s="47" t="s">
        <v>469</v>
      </c>
      <c r="Y217" s="31"/>
    </row>
    <row r="218" ht="34.5" customHeight="1">
      <c r="A218" s="45">
        <v>7.0</v>
      </c>
      <c r="B218" s="46" t="s">
        <v>470</v>
      </c>
      <c r="C218" s="47" t="s">
        <v>471</v>
      </c>
      <c r="D218" s="30"/>
      <c r="E218" s="30"/>
      <c r="F218" s="31"/>
      <c r="G218" s="48" t="s">
        <v>394</v>
      </c>
      <c r="H218" s="30"/>
      <c r="I218" s="30"/>
      <c r="J218" s="31"/>
      <c r="K218" s="48" t="s">
        <v>472</v>
      </c>
      <c r="L218" s="30"/>
      <c r="M218" s="30"/>
      <c r="N218" s="31"/>
      <c r="O218" s="48" t="s">
        <v>174</v>
      </c>
      <c r="P218" s="30"/>
      <c r="Q218" s="31"/>
      <c r="R218" s="49"/>
      <c r="S218" s="31"/>
      <c r="T218" s="49"/>
      <c r="U218" s="31"/>
      <c r="V218" s="49"/>
      <c r="W218" s="31"/>
      <c r="X218" s="47" t="s">
        <v>473</v>
      </c>
      <c r="Y218" s="31"/>
    </row>
    <row r="219" ht="34.5" customHeight="1">
      <c r="A219" s="45">
        <v>8.0</v>
      </c>
      <c r="B219" s="46" t="s">
        <v>474</v>
      </c>
      <c r="C219" s="47" t="s">
        <v>475</v>
      </c>
      <c r="D219" s="30"/>
      <c r="E219" s="30"/>
      <c r="F219" s="31"/>
      <c r="G219" s="48" t="s">
        <v>179</v>
      </c>
      <c r="H219" s="30"/>
      <c r="I219" s="30"/>
      <c r="J219" s="31"/>
      <c r="K219" s="48" t="s">
        <v>234</v>
      </c>
      <c r="L219" s="30"/>
      <c r="M219" s="30"/>
      <c r="N219" s="31"/>
      <c r="O219" s="48" t="s">
        <v>174</v>
      </c>
      <c r="P219" s="30"/>
      <c r="Q219" s="31"/>
      <c r="R219" s="49"/>
      <c r="S219" s="31"/>
      <c r="T219" s="49"/>
      <c r="U219" s="31"/>
      <c r="V219" s="49"/>
      <c r="W219" s="31"/>
      <c r="X219" s="47" t="s">
        <v>476</v>
      </c>
      <c r="Y219" s="31"/>
    </row>
    <row r="220" ht="34.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 ht="34.5" customHeight="1">
      <c r="A221" s="51">
        <v>21.0</v>
      </c>
      <c r="B221" s="52" t="s">
        <v>4</v>
      </c>
      <c r="C221" s="53" t="str">
        <f>B24</f>
        <v>tipo_evento</v>
      </c>
      <c r="D221" s="30"/>
      <c r="E221" s="30"/>
      <c r="F221" s="31"/>
      <c r="G221" s="52" t="s">
        <v>6</v>
      </c>
      <c r="H221" s="30"/>
      <c r="I221" s="30"/>
      <c r="J221" s="31"/>
      <c r="K221" s="54" t="str">
        <f>F24</f>
        <v>Catálogo de categorías de evento definido por la administración (congreso, taller, feria, concierto...).</v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1"/>
      <c r="X221" s="55" t="s">
        <v>159</v>
      </c>
      <c r="Y221" s="56" t="s">
        <v>160</v>
      </c>
    </row>
    <row r="222" ht="34.5" customHeight="1">
      <c r="A222" s="55" t="s">
        <v>3</v>
      </c>
      <c r="B222" s="55" t="s">
        <v>161</v>
      </c>
      <c r="C222" s="52" t="s">
        <v>162</v>
      </c>
      <c r="D222" s="30"/>
      <c r="E222" s="30"/>
      <c r="F222" s="31"/>
      <c r="G222" s="52" t="s">
        <v>163</v>
      </c>
      <c r="H222" s="30"/>
      <c r="I222" s="30"/>
      <c r="J222" s="31"/>
      <c r="K222" s="52" t="s">
        <v>164</v>
      </c>
      <c r="L222" s="30"/>
      <c r="M222" s="30"/>
      <c r="N222" s="31"/>
      <c r="O222" s="52" t="s">
        <v>165</v>
      </c>
      <c r="P222" s="30"/>
      <c r="Q222" s="31"/>
      <c r="R222" s="52" t="s">
        <v>166</v>
      </c>
      <c r="S222" s="31"/>
      <c r="T222" s="52" t="s">
        <v>167</v>
      </c>
      <c r="U222" s="31"/>
      <c r="V222" s="52" t="s">
        <v>168</v>
      </c>
      <c r="W222" s="31"/>
      <c r="X222" s="52" t="s">
        <v>169</v>
      </c>
      <c r="Y222" s="31"/>
    </row>
    <row r="223" ht="34.5" customHeight="1">
      <c r="A223" s="45">
        <v>1.0</v>
      </c>
      <c r="B223" s="46" t="s">
        <v>477</v>
      </c>
      <c r="C223" s="47" t="s">
        <v>478</v>
      </c>
      <c r="D223" s="30"/>
      <c r="E223" s="30"/>
      <c r="F223" s="31"/>
      <c r="G223" s="48" t="s">
        <v>172</v>
      </c>
      <c r="H223" s="30"/>
      <c r="I223" s="30"/>
      <c r="J223" s="31"/>
      <c r="K223" s="48" t="s">
        <v>173</v>
      </c>
      <c r="L223" s="30"/>
      <c r="M223" s="30"/>
      <c r="N223" s="31"/>
      <c r="O223" s="48" t="s">
        <v>174</v>
      </c>
      <c r="P223" s="30"/>
      <c r="Q223" s="31"/>
      <c r="R223" s="48" t="s">
        <v>175</v>
      </c>
      <c r="S223" s="31"/>
      <c r="T223" s="49"/>
      <c r="U223" s="31"/>
      <c r="V223" s="49"/>
      <c r="W223" s="31"/>
      <c r="X223" s="47" t="s">
        <v>176</v>
      </c>
      <c r="Y223" s="31"/>
    </row>
    <row r="224" ht="34.5" customHeight="1">
      <c r="A224" s="45">
        <v>2.0</v>
      </c>
      <c r="B224" s="46" t="s">
        <v>375</v>
      </c>
      <c r="C224" s="47" t="s">
        <v>430</v>
      </c>
      <c r="D224" s="30"/>
      <c r="E224" s="30"/>
      <c r="F224" s="31"/>
      <c r="G224" s="48" t="s">
        <v>200</v>
      </c>
      <c r="H224" s="30"/>
      <c r="I224" s="30"/>
      <c r="J224" s="31"/>
      <c r="K224" s="48" t="s">
        <v>201</v>
      </c>
      <c r="L224" s="30"/>
      <c r="M224" s="30"/>
      <c r="N224" s="31"/>
      <c r="O224" s="48" t="s">
        <v>174</v>
      </c>
      <c r="P224" s="30"/>
      <c r="Q224" s="31"/>
      <c r="R224" s="49"/>
      <c r="S224" s="31"/>
      <c r="T224" s="48" t="s">
        <v>175</v>
      </c>
      <c r="U224" s="31"/>
      <c r="V224" s="49"/>
      <c r="W224" s="31"/>
      <c r="X224" s="47" t="s">
        <v>309</v>
      </c>
      <c r="Y224" s="31"/>
    </row>
    <row r="225" ht="34.5" customHeight="1">
      <c r="A225" s="45">
        <v>3.0</v>
      </c>
      <c r="B225" s="46" t="s">
        <v>479</v>
      </c>
      <c r="C225" s="47" t="s">
        <v>378</v>
      </c>
      <c r="D225" s="30"/>
      <c r="E225" s="30"/>
      <c r="F225" s="31"/>
      <c r="G225" s="48" t="s">
        <v>179</v>
      </c>
      <c r="H225" s="30"/>
      <c r="I225" s="30"/>
      <c r="J225" s="31"/>
      <c r="K225" s="48" t="s">
        <v>215</v>
      </c>
      <c r="L225" s="30"/>
      <c r="M225" s="30"/>
      <c r="N225" s="31"/>
      <c r="O225" s="48" t="s">
        <v>174</v>
      </c>
      <c r="P225" s="30"/>
      <c r="Q225" s="31"/>
      <c r="R225" s="49"/>
      <c r="S225" s="31"/>
      <c r="T225" s="49"/>
      <c r="U225" s="31"/>
      <c r="V225" s="48" t="s">
        <v>175</v>
      </c>
      <c r="W225" s="31"/>
      <c r="X225" s="49"/>
      <c r="Y225" s="31"/>
    </row>
    <row r="226" ht="34.5" customHeight="1">
      <c r="A226" s="45">
        <v>4.0</v>
      </c>
      <c r="B226" s="46" t="s">
        <v>480</v>
      </c>
      <c r="C226" s="47" t="s">
        <v>380</v>
      </c>
      <c r="D226" s="30"/>
      <c r="E226" s="30"/>
      <c r="F226" s="31"/>
      <c r="G226" s="48" t="s">
        <v>179</v>
      </c>
      <c r="H226" s="30"/>
      <c r="I226" s="30"/>
      <c r="J226" s="31"/>
      <c r="K226" s="48" t="s">
        <v>183</v>
      </c>
      <c r="L226" s="30"/>
      <c r="M226" s="30"/>
      <c r="N226" s="31"/>
      <c r="O226" s="48" t="s">
        <v>184</v>
      </c>
      <c r="P226" s="30"/>
      <c r="Q226" s="31"/>
      <c r="R226" s="49"/>
      <c r="S226" s="31"/>
      <c r="T226" s="49"/>
      <c r="U226" s="31"/>
      <c r="V226" s="49"/>
      <c r="W226" s="31"/>
      <c r="X226" s="49"/>
      <c r="Y226" s="31"/>
    </row>
    <row r="227" ht="34.5" customHeight="1">
      <c r="A227" s="45">
        <v>5.0</v>
      </c>
      <c r="B227" s="46" t="s">
        <v>481</v>
      </c>
      <c r="C227" s="47" t="s">
        <v>382</v>
      </c>
      <c r="D227" s="30"/>
      <c r="E227" s="30"/>
      <c r="F227" s="31"/>
      <c r="G227" s="48" t="s">
        <v>59</v>
      </c>
      <c r="H227" s="30"/>
      <c r="I227" s="30"/>
      <c r="J227" s="31"/>
      <c r="K227" s="48" t="s">
        <v>187</v>
      </c>
      <c r="L227" s="30"/>
      <c r="M227" s="30"/>
      <c r="N227" s="31"/>
      <c r="O227" s="48" t="s">
        <v>174</v>
      </c>
      <c r="P227" s="30"/>
      <c r="Q227" s="31"/>
      <c r="R227" s="49"/>
      <c r="S227" s="31"/>
      <c r="T227" s="49"/>
      <c r="U227" s="31"/>
      <c r="V227" s="49"/>
      <c r="W227" s="31"/>
      <c r="X227" s="47" t="s">
        <v>188</v>
      </c>
      <c r="Y227" s="31"/>
    </row>
    <row r="228" ht="34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 ht="34.5" customHeight="1">
      <c r="A229" s="51">
        <v>22.0</v>
      </c>
      <c r="B229" s="52" t="s">
        <v>4</v>
      </c>
      <c r="C229" s="53" t="str">
        <f>B25</f>
        <v>evento</v>
      </c>
      <c r="D229" s="30"/>
      <c r="E229" s="30"/>
      <c r="F229" s="31"/>
      <c r="G229" s="52" t="s">
        <v>6</v>
      </c>
      <c r="H229" s="30"/>
      <c r="I229" s="30"/>
      <c r="J229" s="31"/>
      <c r="K229" s="54" t="str">
        <f>F25</f>
        <v>Actividad académica o social organizada por un usuario, con fechas, lugar, cupo y valor de entrada.</v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1"/>
      <c r="X229" s="55" t="s">
        <v>159</v>
      </c>
      <c r="Y229" s="56" t="s">
        <v>160</v>
      </c>
    </row>
    <row r="230" ht="34.5" customHeight="1">
      <c r="A230" s="55" t="s">
        <v>3</v>
      </c>
      <c r="B230" s="55" t="s">
        <v>161</v>
      </c>
      <c r="C230" s="52" t="s">
        <v>162</v>
      </c>
      <c r="D230" s="30"/>
      <c r="E230" s="30"/>
      <c r="F230" s="31"/>
      <c r="G230" s="52" t="s">
        <v>163</v>
      </c>
      <c r="H230" s="30"/>
      <c r="I230" s="30"/>
      <c r="J230" s="31"/>
      <c r="K230" s="52" t="s">
        <v>164</v>
      </c>
      <c r="L230" s="30"/>
      <c r="M230" s="30"/>
      <c r="N230" s="31"/>
      <c r="O230" s="52" t="s">
        <v>165</v>
      </c>
      <c r="P230" s="30"/>
      <c r="Q230" s="31"/>
      <c r="R230" s="52" t="s">
        <v>166</v>
      </c>
      <c r="S230" s="31"/>
      <c r="T230" s="52" t="s">
        <v>167</v>
      </c>
      <c r="U230" s="31"/>
      <c r="V230" s="52" t="s">
        <v>168</v>
      </c>
      <c r="W230" s="31"/>
      <c r="X230" s="52" t="s">
        <v>169</v>
      </c>
      <c r="Y230" s="31"/>
    </row>
    <row r="231" ht="34.5" customHeight="1">
      <c r="A231" s="45">
        <v>1.0</v>
      </c>
      <c r="B231" s="46" t="s">
        <v>482</v>
      </c>
      <c r="C231" s="47" t="s">
        <v>483</v>
      </c>
      <c r="D231" s="30"/>
      <c r="E231" s="30"/>
      <c r="F231" s="31"/>
      <c r="G231" s="48" t="s">
        <v>200</v>
      </c>
      <c r="H231" s="30"/>
      <c r="I231" s="30"/>
      <c r="J231" s="31"/>
      <c r="K231" s="48" t="s">
        <v>201</v>
      </c>
      <c r="L231" s="30"/>
      <c r="M231" s="30"/>
      <c r="N231" s="31"/>
      <c r="O231" s="48" t="s">
        <v>174</v>
      </c>
      <c r="P231" s="30"/>
      <c r="Q231" s="31"/>
      <c r="R231" s="48" t="s">
        <v>175</v>
      </c>
      <c r="S231" s="31"/>
      <c r="T231" s="49"/>
      <c r="U231" s="31"/>
      <c r="V231" s="49"/>
      <c r="W231" s="31"/>
      <c r="X231" s="47" t="s">
        <v>176</v>
      </c>
      <c r="Y231" s="31"/>
    </row>
    <row r="232" ht="34.5" customHeight="1">
      <c r="A232" s="45">
        <v>2.0</v>
      </c>
      <c r="B232" s="46" t="s">
        <v>484</v>
      </c>
      <c r="C232" s="47" t="s">
        <v>485</v>
      </c>
      <c r="D232" s="30"/>
      <c r="E232" s="30"/>
      <c r="F232" s="31"/>
      <c r="G232" s="48" t="s">
        <v>200</v>
      </c>
      <c r="H232" s="30"/>
      <c r="I232" s="30"/>
      <c r="J232" s="31"/>
      <c r="K232" s="48" t="s">
        <v>201</v>
      </c>
      <c r="L232" s="30"/>
      <c r="M232" s="30"/>
      <c r="N232" s="31"/>
      <c r="O232" s="48" t="s">
        <v>174</v>
      </c>
      <c r="P232" s="30"/>
      <c r="Q232" s="31"/>
      <c r="R232" s="49"/>
      <c r="S232" s="31"/>
      <c r="T232" s="48" t="s">
        <v>175</v>
      </c>
      <c r="U232" s="31"/>
      <c r="V232" s="49"/>
      <c r="W232" s="31"/>
      <c r="X232" s="47" t="s">
        <v>309</v>
      </c>
      <c r="Y232" s="31"/>
    </row>
    <row r="233" ht="34.5" customHeight="1">
      <c r="A233" s="45">
        <v>3.0</v>
      </c>
      <c r="B233" s="46" t="s">
        <v>477</v>
      </c>
      <c r="C233" s="47" t="s">
        <v>486</v>
      </c>
      <c r="D233" s="30"/>
      <c r="E233" s="30"/>
      <c r="F233" s="31"/>
      <c r="G233" s="48" t="s">
        <v>172</v>
      </c>
      <c r="H233" s="30"/>
      <c r="I233" s="30"/>
      <c r="J233" s="31"/>
      <c r="K233" s="48" t="s">
        <v>173</v>
      </c>
      <c r="L233" s="30"/>
      <c r="M233" s="30"/>
      <c r="N233" s="31"/>
      <c r="O233" s="48" t="s">
        <v>174</v>
      </c>
      <c r="P233" s="30"/>
      <c r="Q233" s="31"/>
      <c r="R233" s="49"/>
      <c r="S233" s="31"/>
      <c r="T233" s="48" t="s">
        <v>175</v>
      </c>
      <c r="U233" s="31"/>
      <c r="V233" s="49"/>
      <c r="W233" s="31"/>
      <c r="X233" s="47" t="s">
        <v>487</v>
      </c>
      <c r="Y233" s="31"/>
    </row>
    <row r="234" ht="34.5" customHeight="1">
      <c r="A234" s="45">
        <v>4.0</v>
      </c>
      <c r="B234" s="46" t="s">
        <v>488</v>
      </c>
      <c r="C234" s="47" t="s">
        <v>489</v>
      </c>
      <c r="D234" s="30"/>
      <c r="E234" s="30"/>
      <c r="F234" s="31"/>
      <c r="G234" s="48" t="s">
        <v>179</v>
      </c>
      <c r="H234" s="30"/>
      <c r="I234" s="30"/>
      <c r="J234" s="31"/>
      <c r="K234" s="48" t="s">
        <v>220</v>
      </c>
      <c r="L234" s="30"/>
      <c r="M234" s="30"/>
      <c r="N234" s="31"/>
      <c r="O234" s="48" t="s">
        <v>174</v>
      </c>
      <c r="P234" s="30"/>
      <c r="Q234" s="31"/>
      <c r="R234" s="49"/>
      <c r="S234" s="31"/>
      <c r="T234" s="49"/>
      <c r="U234" s="31"/>
      <c r="V234" s="49"/>
      <c r="W234" s="31"/>
      <c r="X234" s="49"/>
      <c r="Y234" s="31"/>
    </row>
    <row r="235" ht="34.5" customHeight="1">
      <c r="A235" s="45">
        <v>5.0</v>
      </c>
      <c r="B235" s="46" t="s">
        <v>490</v>
      </c>
      <c r="C235" s="47" t="s">
        <v>491</v>
      </c>
      <c r="D235" s="30"/>
      <c r="E235" s="30"/>
      <c r="F235" s="31"/>
      <c r="G235" s="48" t="s">
        <v>179</v>
      </c>
      <c r="H235" s="30"/>
      <c r="I235" s="30"/>
      <c r="J235" s="31"/>
      <c r="K235" s="48" t="s">
        <v>332</v>
      </c>
      <c r="L235" s="30"/>
      <c r="M235" s="30"/>
      <c r="N235" s="31"/>
      <c r="O235" s="48" t="s">
        <v>184</v>
      </c>
      <c r="P235" s="30"/>
      <c r="Q235" s="31"/>
      <c r="R235" s="49"/>
      <c r="S235" s="31"/>
      <c r="T235" s="49"/>
      <c r="U235" s="31"/>
      <c r="V235" s="49"/>
      <c r="W235" s="31"/>
      <c r="X235" s="49"/>
      <c r="Y235" s="31"/>
    </row>
    <row r="236" ht="34.5" customHeight="1">
      <c r="A236" s="45">
        <v>6.0</v>
      </c>
      <c r="B236" s="46" t="s">
        <v>492</v>
      </c>
      <c r="C236" s="47" t="s">
        <v>493</v>
      </c>
      <c r="D236" s="30"/>
      <c r="E236" s="30"/>
      <c r="F236" s="31"/>
      <c r="G236" s="48" t="s">
        <v>89</v>
      </c>
      <c r="H236" s="30"/>
      <c r="I236" s="30"/>
      <c r="J236" s="31"/>
      <c r="K236" s="48" t="s">
        <v>230</v>
      </c>
      <c r="L236" s="30"/>
      <c r="M236" s="30"/>
      <c r="N236" s="31"/>
      <c r="O236" s="48" t="s">
        <v>174</v>
      </c>
      <c r="P236" s="30"/>
      <c r="Q236" s="31"/>
      <c r="R236" s="49"/>
      <c r="S236" s="31"/>
      <c r="T236" s="49"/>
      <c r="U236" s="31"/>
      <c r="V236" s="49"/>
      <c r="W236" s="31"/>
      <c r="X236" s="47" t="s">
        <v>494</v>
      </c>
      <c r="Y236" s="31"/>
    </row>
    <row r="237" ht="34.5" customHeight="1">
      <c r="A237" s="45">
        <v>7.0</v>
      </c>
      <c r="B237" s="46" t="s">
        <v>495</v>
      </c>
      <c r="C237" s="47" t="s">
        <v>496</v>
      </c>
      <c r="D237" s="30"/>
      <c r="E237" s="30"/>
      <c r="F237" s="31"/>
      <c r="G237" s="48" t="s">
        <v>89</v>
      </c>
      <c r="H237" s="30"/>
      <c r="I237" s="30"/>
      <c r="J237" s="31"/>
      <c r="K237" s="48" t="s">
        <v>230</v>
      </c>
      <c r="L237" s="30"/>
      <c r="M237" s="30"/>
      <c r="N237" s="31"/>
      <c r="O237" s="48" t="s">
        <v>174</v>
      </c>
      <c r="P237" s="30"/>
      <c r="Q237" s="31"/>
      <c r="R237" s="49"/>
      <c r="S237" s="31"/>
      <c r="T237" s="49"/>
      <c r="U237" s="31"/>
      <c r="V237" s="49"/>
      <c r="W237" s="31"/>
      <c r="X237" s="47" t="s">
        <v>494</v>
      </c>
      <c r="Y237" s="31"/>
    </row>
    <row r="238" ht="34.5" customHeight="1">
      <c r="A238" s="45">
        <v>8.0</v>
      </c>
      <c r="B238" s="46" t="s">
        <v>497</v>
      </c>
      <c r="C238" s="47" t="s">
        <v>498</v>
      </c>
      <c r="D238" s="30"/>
      <c r="E238" s="30"/>
      <c r="F238" s="31"/>
      <c r="G238" s="48" t="s">
        <v>179</v>
      </c>
      <c r="H238" s="30"/>
      <c r="I238" s="30"/>
      <c r="J238" s="31"/>
      <c r="K238" s="48" t="s">
        <v>314</v>
      </c>
      <c r="L238" s="30"/>
      <c r="M238" s="30"/>
      <c r="N238" s="31"/>
      <c r="O238" s="48" t="s">
        <v>174</v>
      </c>
      <c r="P238" s="30"/>
      <c r="Q238" s="31"/>
      <c r="R238" s="49"/>
      <c r="S238" s="31"/>
      <c r="T238" s="49"/>
      <c r="U238" s="31"/>
      <c r="V238" s="49"/>
      <c r="W238" s="31"/>
      <c r="X238" s="49"/>
      <c r="Y238" s="31"/>
    </row>
    <row r="239" ht="34.5" customHeight="1">
      <c r="A239" s="45">
        <v>9.0</v>
      </c>
      <c r="B239" s="46" t="s">
        <v>499</v>
      </c>
      <c r="C239" s="47" t="s">
        <v>500</v>
      </c>
      <c r="D239" s="30"/>
      <c r="E239" s="30"/>
      <c r="F239" s="31"/>
      <c r="G239" s="48" t="s">
        <v>200</v>
      </c>
      <c r="H239" s="30"/>
      <c r="I239" s="30"/>
      <c r="J239" s="31"/>
      <c r="K239" s="48" t="s">
        <v>201</v>
      </c>
      <c r="L239" s="30"/>
      <c r="M239" s="30"/>
      <c r="N239" s="31"/>
      <c r="O239" s="48" t="s">
        <v>184</v>
      </c>
      <c r="P239" s="30"/>
      <c r="Q239" s="31"/>
      <c r="R239" s="49"/>
      <c r="S239" s="31"/>
      <c r="T239" s="49"/>
      <c r="U239" s="31"/>
      <c r="V239" s="49"/>
      <c r="W239" s="31"/>
      <c r="X239" s="47" t="s">
        <v>501</v>
      </c>
      <c r="Y239" s="31"/>
    </row>
    <row r="240" ht="34.5" customHeight="1">
      <c r="A240" s="45">
        <v>10.0</v>
      </c>
      <c r="B240" s="46" t="s">
        <v>502</v>
      </c>
      <c r="C240" s="47" t="s">
        <v>503</v>
      </c>
      <c r="D240" s="30"/>
      <c r="E240" s="30"/>
      <c r="F240" s="31"/>
      <c r="G240" s="48" t="s">
        <v>394</v>
      </c>
      <c r="H240" s="30"/>
      <c r="I240" s="30"/>
      <c r="J240" s="31"/>
      <c r="K240" s="48" t="s">
        <v>395</v>
      </c>
      <c r="L240" s="30"/>
      <c r="M240" s="30"/>
      <c r="N240" s="31"/>
      <c r="O240" s="48" t="s">
        <v>174</v>
      </c>
      <c r="P240" s="30"/>
      <c r="Q240" s="31"/>
      <c r="R240" s="49"/>
      <c r="S240" s="31"/>
      <c r="T240" s="49"/>
      <c r="U240" s="31"/>
      <c r="V240" s="49"/>
      <c r="W240" s="31"/>
      <c r="X240" s="47" t="s">
        <v>504</v>
      </c>
      <c r="Y240" s="31"/>
    </row>
    <row r="241" ht="34.5" customHeight="1">
      <c r="A241" s="45">
        <v>11.0</v>
      </c>
      <c r="B241" s="46" t="s">
        <v>505</v>
      </c>
      <c r="C241" s="47" t="s">
        <v>506</v>
      </c>
      <c r="D241" s="30"/>
      <c r="E241" s="30"/>
      <c r="F241" s="31"/>
      <c r="G241" s="48" t="s">
        <v>179</v>
      </c>
      <c r="H241" s="30"/>
      <c r="I241" s="30"/>
      <c r="J241" s="31"/>
      <c r="K241" s="48" t="s">
        <v>234</v>
      </c>
      <c r="L241" s="30"/>
      <c r="M241" s="30"/>
      <c r="N241" s="31"/>
      <c r="O241" s="48" t="s">
        <v>174</v>
      </c>
      <c r="P241" s="30"/>
      <c r="Q241" s="31"/>
      <c r="R241" s="49"/>
      <c r="S241" s="31"/>
      <c r="T241" s="49"/>
      <c r="U241" s="31"/>
      <c r="V241" s="49"/>
      <c r="W241" s="31"/>
      <c r="X241" s="47" t="s">
        <v>507</v>
      </c>
      <c r="Y241" s="31"/>
    </row>
    <row r="242" ht="34.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</row>
    <row r="243" ht="34.5" customHeight="1">
      <c r="A243" s="51">
        <v>23.0</v>
      </c>
      <c r="B243" s="52" t="s">
        <v>4</v>
      </c>
      <c r="C243" s="53" t="str">
        <f>B26</f>
        <v>participacion_evento</v>
      </c>
      <c r="D243" s="30"/>
      <c r="E243" s="30"/>
      <c r="F243" s="31"/>
      <c r="G243" s="52" t="s">
        <v>6</v>
      </c>
      <c r="H243" s="30"/>
      <c r="I243" s="30"/>
      <c r="J243" s="31"/>
      <c r="K243" s="54" t="str">
        <f>F26</f>
        <v>Inscripción de usuarios a eventos: traza de pago, asistencia, me gusta y comentario posterior.</v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1"/>
      <c r="X243" s="55" t="s">
        <v>159</v>
      </c>
      <c r="Y243" s="56" t="s">
        <v>160</v>
      </c>
    </row>
    <row r="244" ht="34.5" customHeight="1">
      <c r="A244" s="55" t="s">
        <v>3</v>
      </c>
      <c r="B244" s="55" t="s">
        <v>161</v>
      </c>
      <c r="C244" s="52" t="s">
        <v>162</v>
      </c>
      <c r="D244" s="30"/>
      <c r="E244" s="30"/>
      <c r="F244" s="31"/>
      <c r="G244" s="52" t="s">
        <v>163</v>
      </c>
      <c r="H244" s="30"/>
      <c r="I244" s="30"/>
      <c r="J244" s="31"/>
      <c r="K244" s="52" t="s">
        <v>164</v>
      </c>
      <c r="L244" s="30"/>
      <c r="M244" s="30"/>
      <c r="N244" s="31"/>
      <c r="O244" s="52" t="s">
        <v>165</v>
      </c>
      <c r="P244" s="30"/>
      <c r="Q244" s="31"/>
      <c r="R244" s="52" t="s">
        <v>166</v>
      </c>
      <c r="S244" s="31"/>
      <c r="T244" s="52" t="s">
        <v>167</v>
      </c>
      <c r="U244" s="31"/>
      <c r="V244" s="52" t="s">
        <v>168</v>
      </c>
      <c r="W244" s="31"/>
      <c r="X244" s="52" t="s">
        <v>169</v>
      </c>
      <c r="Y244" s="31"/>
    </row>
    <row r="245" ht="34.5" customHeight="1">
      <c r="A245" s="45">
        <v>1.0</v>
      </c>
      <c r="B245" s="46" t="s">
        <v>482</v>
      </c>
      <c r="C245" s="47" t="s">
        <v>508</v>
      </c>
      <c r="D245" s="30"/>
      <c r="E245" s="30"/>
      <c r="F245" s="31"/>
      <c r="G245" s="48" t="s">
        <v>200</v>
      </c>
      <c r="H245" s="30"/>
      <c r="I245" s="30"/>
      <c r="J245" s="31"/>
      <c r="K245" s="48" t="s">
        <v>201</v>
      </c>
      <c r="L245" s="30"/>
      <c r="M245" s="30"/>
      <c r="N245" s="31"/>
      <c r="O245" s="48" t="s">
        <v>174</v>
      </c>
      <c r="P245" s="30"/>
      <c r="Q245" s="31"/>
      <c r="R245" s="48" t="s">
        <v>175</v>
      </c>
      <c r="S245" s="31"/>
      <c r="T245" s="48" t="s">
        <v>175</v>
      </c>
      <c r="U245" s="31"/>
      <c r="V245" s="49"/>
      <c r="W245" s="31"/>
      <c r="X245" s="47" t="s">
        <v>509</v>
      </c>
      <c r="Y245" s="31"/>
    </row>
    <row r="246" ht="34.5" customHeight="1">
      <c r="A246" s="45">
        <v>2.0</v>
      </c>
      <c r="B246" s="46" t="s">
        <v>198</v>
      </c>
      <c r="C246" s="47" t="s">
        <v>510</v>
      </c>
      <c r="D246" s="30"/>
      <c r="E246" s="30"/>
      <c r="F246" s="31"/>
      <c r="G246" s="48" t="s">
        <v>200</v>
      </c>
      <c r="H246" s="30"/>
      <c r="I246" s="30"/>
      <c r="J246" s="31"/>
      <c r="K246" s="48" t="s">
        <v>201</v>
      </c>
      <c r="L246" s="30"/>
      <c r="M246" s="30"/>
      <c r="N246" s="31"/>
      <c r="O246" s="48" t="s">
        <v>174</v>
      </c>
      <c r="P246" s="30"/>
      <c r="Q246" s="31"/>
      <c r="R246" s="48" t="s">
        <v>175</v>
      </c>
      <c r="S246" s="31"/>
      <c r="T246" s="48" t="s">
        <v>175</v>
      </c>
      <c r="U246" s="31"/>
      <c r="V246" s="49"/>
      <c r="W246" s="31"/>
      <c r="X246" s="47" t="s">
        <v>309</v>
      </c>
      <c r="Y246" s="31"/>
    </row>
    <row r="247" ht="34.5" customHeight="1">
      <c r="A247" s="45">
        <v>3.0</v>
      </c>
      <c r="B247" s="46" t="s">
        <v>511</v>
      </c>
      <c r="C247" s="47" t="s">
        <v>512</v>
      </c>
      <c r="D247" s="30"/>
      <c r="E247" s="30"/>
      <c r="F247" s="31"/>
      <c r="G247" s="48" t="s">
        <v>89</v>
      </c>
      <c r="H247" s="30"/>
      <c r="I247" s="30"/>
      <c r="J247" s="31"/>
      <c r="K247" s="48" t="s">
        <v>230</v>
      </c>
      <c r="L247" s="30"/>
      <c r="M247" s="30"/>
      <c r="N247" s="31"/>
      <c r="O247" s="48" t="s">
        <v>174</v>
      </c>
      <c r="P247" s="30"/>
      <c r="Q247" s="31"/>
      <c r="R247" s="49"/>
      <c r="S247" s="31"/>
      <c r="T247" s="49"/>
      <c r="U247" s="31"/>
      <c r="V247" s="49"/>
      <c r="W247" s="31"/>
      <c r="X247" s="47" t="s">
        <v>231</v>
      </c>
      <c r="Y247" s="31"/>
    </row>
    <row r="248" ht="34.5" customHeight="1">
      <c r="A248" s="45">
        <v>4.0</v>
      </c>
      <c r="B248" s="46" t="s">
        <v>513</v>
      </c>
      <c r="C248" s="47" t="s">
        <v>514</v>
      </c>
      <c r="D248" s="30"/>
      <c r="E248" s="30"/>
      <c r="F248" s="31"/>
      <c r="G248" s="48" t="s">
        <v>394</v>
      </c>
      <c r="H248" s="30"/>
      <c r="I248" s="30"/>
      <c r="J248" s="31"/>
      <c r="K248" s="48" t="s">
        <v>395</v>
      </c>
      <c r="L248" s="30"/>
      <c r="M248" s="30"/>
      <c r="N248" s="31"/>
      <c r="O248" s="48" t="s">
        <v>174</v>
      </c>
      <c r="P248" s="30"/>
      <c r="Q248" s="31"/>
      <c r="R248" s="49"/>
      <c r="S248" s="31"/>
      <c r="T248" s="49"/>
      <c r="U248" s="31"/>
      <c r="V248" s="49"/>
      <c r="W248" s="31"/>
      <c r="X248" s="47" t="s">
        <v>515</v>
      </c>
      <c r="Y248" s="31"/>
    </row>
    <row r="249" ht="34.5" customHeight="1">
      <c r="A249" s="45">
        <v>5.0</v>
      </c>
      <c r="B249" s="46" t="s">
        <v>516</v>
      </c>
      <c r="C249" s="47" t="s">
        <v>517</v>
      </c>
      <c r="D249" s="30"/>
      <c r="E249" s="30"/>
      <c r="F249" s="31"/>
      <c r="G249" s="48" t="s">
        <v>59</v>
      </c>
      <c r="H249" s="30"/>
      <c r="I249" s="30"/>
      <c r="J249" s="31"/>
      <c r="K249" s="48" t="s">
        <v>187</v>
      </c>
      <c r="L249" s="30"/>
      <c r="M249" s="30"/>
      <c r="N249" s="31"/>
      <c r="O249" s="48" t="s">
        <v>174</v>
      </c>
      <c r="P249" s="30"/>
      <c r="Q249" s="31"/>
      <c r="R249" s="49"/>
      <c r="S249" s="31"/>
      <c r="T249" s="49"/>
      <c r="U249" s="31"/>
      <c r="V249" s="49"/>
      <c r="W249" s="31"/>
      <c r="X249" s="47" t="s">
        <v>263</v>
      </c>
      <c r="Y249" s="31"/>
    </row>
    <row r="250" ht="34.5" customHeight="1">
      <c r="A250" s="45">
        <v>6.0</v>
      </c>
      <c r="B250" s="46" t="s">
        <v>518</v>
      </c>
      <c r="C250" s="47" t="s">
        <v>519</v>
      </c>
      <c r="D250" s="30"/>
      <c r="E250" s="30"/>
      <c r="F250" s="31"/>
      <c r="G250" s="48" t="s">
        <v>59</v>
      </c>
      <c r="H250" s="30"/>
      <c r="I250" s="30"/>
      <c r="J250" s="31"/>
      <c r="K250" s="48" t="s">
        <v>187</v>
      </c>
      <c r="L250" s="30"/>
      <c r="M250" s="30"/>
      <c r="N250" s="31"/>
      <c r="O250" s="48" t="s">
        <v>174</v>
      </c>
      <c r="P250" s="30"/>
      <c r="Q250" s="31"/>
      <c r="R250" s="49"/>
      <c r="S250" s="31"/>
      <c r="T250" s="49"/>
      <c r="U250" s="31"/>
      <c r="V250" s="49"/>
      <c r="W250" s="31"/>
      <c r="X250" s="47" t="s">
        <v>263</v>
      </c>
      <c r="Y250" s="31"/>
    </row>
    <row r="251" ht="34.5" customHeight="1">
      <c r="A251" s="45">
        <v>7.0</v>
      </c>
      <c r="B251" s="46" t="s">
        <v>520</v>
      </c>
      <c r="C251" s="47" t="s">
        <v>521</v>
      </c>
      <c r="D251" s="30"/>
      <c r="E251" s="30"/>
      <c r="F251" s="31"/>
      <c r="G251" s="48" t="s">
        <v>179</v>
      </c>
      <c r="H251" s="30"/>
      <c r="I251" s="30"/>
      <c r="J251" s="31"/>
      <c r="K251" s="48" t="s">
        <v>257</v>
      </c>
      <c r="L251" s="30"/>
      <c r="M251" s="30"/>
      <c r="N251" s="31"/>
      <c r="O251" s="48" t="s">
        <v>184</v>
      </c>
      <c r="P251" s="30"/>
      <c r="Q251" s="31"/>
      <c r="R251" s="49"/>
      <c r="S251" s="31"/>
      <c r="T251" s="49"/>
      <c r="U251" s="31"/>
      <c r="V251" s="49"/>
      <c r="W251" s="31"/>
      <c r="X251" s="47" t="s">
        <v>522</v>
      </c>
      <c r="Y251" s="31"/>
    </row>
    <row r="252" ht="34.5" customHeight="1">
      <c r="A252" s="45">
        <v>8.0</v>
      </c>
      <c r="B252" s="46" t="s">
        <v>523</v>
      </c>
      <c r="C252" s="47" t="s">
        <v>334</v>
      </c>
      <c r="D252" s="30"/>
      <c r="E252" s="30"/>
      <c r="F252" s="31"/>
      <c r="G252" s="48" t="s">
        <v>89</v>
      </c>
      <c r="H252" s="30"/>
      <c r="I252" s="30"/>
      <c r="J252" s="31"/>
      <c r="K252" s="48" t="s">
        <v>230</v>
      </c>
      <c r="L252" s="30"/>
      <c r="M252" s="30"/>
      <c r="N252" s="31"/>
      <c r="O252" s="48" t="s">
        <v>184</v>
      </c>
      <c r="P252" s="30"/>
      <c r="Q252" s="31"/>
      <c r="R252" s="49"/>
      <c r="S252" s="31"/>
      <c r="T252" s="49"/>
      <c r="U252" s="31"/>
      <c r="V252" s="49"/>
      <c r="W252" s="31"/>
      <c r="X252" s="47" t="s">
        <v>522</v>
      </c>
      <c r="Y252" s="3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489">
    <mergeCell ref="A1:Y1"/>
    <mergeCell ref="A2:Y2"/>
    <mergeCell ref="B3:E3"/>
    <mergeCell ref="F3:W3"/>
    <mergeCell ref="X3:Y3"/>
    <mergeCell ref="F27:W27"/>
    <mergeCell ref="X27:Y27"/>
    <mergeCell ref="T33:U33"/>
    <mergeCell ref="V33:W33"/>
    <mergeCell ref="K34:N34"/>
    <mergeCell ref="O34:Q34"/>
    <mergeCell ref="R34:S34"/>
    <mergeCell ref="T34:U34"/>
    <mergeCell ref="V34:W34"/>
    <mergeCell ref="X34:Y34"/>
    <mergeCell ref="F28:W28"/>
    <mergeCell ref="X28:Y28"/>
    <mergeCell ref="A30:Y30"/>
    <mergeCell ref="K32:W32"/>
    <mergeCell ref="K33:N33"/>
    <mergeCell ref="O33:Q33"/>
    <mergeCell ref="R33:S33"/>
    <mergeCell ref="X33:Y33"/>
    <mergeCell ref="V35:W35"/>
    <mergeCell ref="X35:Y35"/>
    <mergeCell ref="C34:F34"/>
    <mergeCell ref="C35:F35"/>
    <mergeCell ref="G35:J35"/>
    <mergeCell ref="K35:N35"/>
    <mergeCell ref="O35:Q35"/>
    <mergeCell ref="R35:S35"/>
    <mergeCell ref="T35:U35"/>
    <mergeCell ref="B27:E27"/>
    <mergeCell ref="B28:E28"/>
    <mergeCell ref="C32:F32"/>
    <mergeCell ref="G32:J32"/>
    <mergeCell ref="C33:F33"/>
    <mergeCell ref="G33:J33"/>
    <mergeCell ref="G34:J34"/>
    <mergeCell ref="V37:W37"/>
    <mergeCell ref="X37:Y37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8:U48"/>
    <mergeCell ref="V48:W48"/>
    <mergeCell ref="X48:Y48"/>
    <mergeCell ref="R47:S47"/>
    <mergeCell ref="T47:U47"/>
    <mergeCell ref="C48:F48"/>
    <mergeCell ref="G48:J48"/>
    <mergeCell ref="K48:N48"/>
    <mergeCell ref="O48:Q48"/>
    <mergeCell ref="R48:S48"/>
    <mergeCell ref="G49:J49"/>
    <mergeCell ref="K49:N49"/>
    <mergeCell ref="O49:Q49"/>
    <mergeCell ref="R49:S49"/>
    <mergeCell ref="T49:U49"/>
    <mergeCell ref="V49:W49"/>
    <mergeCell ref="X49:Y49"/>
    <mergeCell ref="C49:F49"/>
    <mergeCell ref="C50:F50"/>
    <mergeCell ref="G50:J50"/>
    <mergeCell ref="K50:N50"/>
    <mergeCell ref="O50:Q50"/>
    <mergeCell ref="R50:S50"/>
    <mergeCell ref="T50:U50"/>
    <mergeCell ref="T51:U51"/>
    <mergeCell ref="V51:W51"/>
    <mergeCell ref="V50:W50"/>
    <mergeCell ref="X50:Y50"/>
    <mergeCell ref="G51:J51"/>
    <mergeCell ref="K51:N51"/>
    <mergeCell ref="O51:Q51"/>
    <mergeCell ref="R51:S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K47:N47"/>
    <mergeCell ref="O47:Q47"/>
    <mergeCell ref="V47:W47"/>
    <mergeCell ref="X47:Y47"/>
    <mergeCell ref="V44:W44"/>
    <mergeCell ref="X44:Y44"/>
    <mergeCell ref="C46:F46"/>
    <mergeCell ref="G46:J46"/>
    <mergeCell ref="K46:W46"/>
    <mergeCell ref="C47:F47"/>
    <mergeCell ref="G47:J47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5:U55"/>
    <mergeCell ref="V55:W55"/>
    <mergeCell ref="V54:W54"/>
    <mergeCell ref="X54:Y54"/>
    <mergeCell ref="G55:J55"/>
    <mergeCell ref="K55:N55"/>
    <mergeCell ref="O55:Q55"/>
    <mergeCell ref="R55:S55"/>
    <mergeCell ref="X55:Y55"/>
    <mergeCell ref="V56:W56"/>
    <mergeCell ref="X56:Y56"/>
    <mergeCell ref="C55:F55"/>
    <mergeCell ref="C56:F56"/>
    <mergeCell ref="G56:J56"/>
    <mergeCell ref="K56:N56"/>
    <mergeCell ref="O56:Q56"/>
    <mergeCell ref="R56:S56"/>
    <mergeCell ref="T56:U56"/>
    <mergeCell ref="G57:J57"/>
    <mergeCell ref="K57:N57"/>
    <mergeCell ref="O57:Q57"/>
    <mergeCell ref="R57:S57"/>
    <mergeCell ref="T57:U57"/>
    <mergeCell ref="V57:W57"/>
    <mergeCell ref="X57:Y57"/>
    <mergeCell ref="C57:F57"/>
    <mergeCell ref="C58:F58"/>
    <mergeCell ref="G58:J58"/>
    <mergeCell ref="K58:N58"/>
    <mergeCell ref="O58:Q58"/>
    <mergeCell ref="R58:S58"/>
    <mergeCell ref="T58:U58"/>
    <mergeCell ref="T59:U59"/>
    <mergeCell ref="V59:W59"/>
    <mergeCell ref="V58:W58"/>
    <mergeCell ref="X58:Y58"/>
    <mergeCell ref="G59:J59"/>
    <mergeCell ref="K59:N59"/>
    <mergeCell ref="O59:Q59"/>
    <mergeCell ref="R59:S59"/>
    <mergeCell ref="X59:Y59"/>
    <mergeCell ref="G65:J65"/>
    <mergeCell ref="K65:N65"/>
    <mergeCell ref="O65:Q65"/>
    <mergeCell ref="R65:S65"/>
    <mergeCell ref="T65:U65"/>
    <mergeCell ref="V65:W65"/>
    <mergeCell ref="X65:Y65"/>
    <mergeCell ref="C65:F65"/>
    <mergeCell ref="C66:F66"/>
    <mergeCell ref="G66:J66"/>
    <mergeCell ref="K66:N66"/>
    <mergeCell ref="O66:Q66"/>
    <mergeCell ref="R66:S66"/>
    <mergeCell ref="T66:U66"/>
    <mergeCell ref="G36:J36"/>
    <mergeCell ref="K36:N36"/>
    <mergeCell ref="O36:Q36"/>
    <mergeCell ref="R36:S36"/>
    <mergeCell ref="T36:U36"/>
    <mergeCell ref="V36:W36"/>
    <mergeCell ref="X36:Y36"/>
    <mergeCell ref="C36:F36"/>
    <mergeCell ref="C37:F37"/>
    <mergeCell ref="G37:J37"/>
    <mergeCell ref="K37:N37"/>
    <mergeCell ref="O37:Q37"/>
    <mergeCell ref="R37:S37"/>
    <mergeCell ref="T37:U37"/>
    <mergeCell ref="R40:S40"/>
    <mergeCell ref="T40:U40"/>
    <mergeCell ref="V40:W40"/>
    <mergeCell ref="X40:Y40"/>
    <mergeCell ref="C39:F39"/>
    <mergeCell ref="G39:J39"/>
    <mergeCell ref="K39:W39"/>
    <mergeCell ref="C40:F40"/>
    <mergeCell ref="G40:J40"/>
    <mergeCell ref="K40:N40"/>
    <mergeCell ref="O40:Q40"/>
    <mergeCell ref="V42:W42"/>
    <mergeCell ref="X42:Y42"/>
    <mergeCell ref="T62:U62"/>
    <mergeCell ref="V62:W62"/>
    <mergeCell ref="X62:Y62"/>
    <mergeCell ref="G67:J67"/>
    <mergeCell ref="K67:N67"/>
    <mergeCell ref="O67:Q67"/>
    <mergeCell ref="R67:S67"/>
    <mergeCell ref="T67:U67"/>
    <mergeCell ref="V67:W67"/>
    <mergeCell ref="X67:Y67"/>
    <mergeCell ref="C67:F67"/>
    <mergeCell ref="C68:F68"/>
    <mergeCell ref="G68:J68"/>
    <mergeCell ref="K68:N68"/>
    <mergeCell ref="O68:Q68"/>
    <mergeCell ref="R68:S68"/>
    <mergeCell ref="T68:U68"/>
    <mergeCell ref="K71:N71"/>
    <mergeCell ref="O71:Q71"/>
    <mergeCell ref="V71:W71"/>
    <mergeCell ref="X71:Y71"/>
    <mergeCell ref="V68:W68"/>
    <mergeCell ref="X68:Y68"/>
    <mergeCell ref="C70:F70"/>
    <mergeCell ref="G70:J70"/>
    <mergeCell ref="K70:W70"/>
    <mergeCell ref="C71:F71"/>
    <mergeCell ref="G71:J71"/>
    <mergeCell ref="T72:U72"/>
    <mergeCell ref="V72:W72"/>
    <mergeCell ref="X72:Y72"/>
    <mergeCell ref="R71:S71"/>
    <mergeCell ref="T71:U71"/>
    <mergeCell ref="C72:F72"/>
    <mergeCell ref="G72:J72"/>
    <mergeCell ref="K72:N72"/>
    <mergeCell ref="O72:Q72"/>
    <mergeCell ref="R72:S72"/>
    <mergeCell ref="G73:J73"/>
    <mergeCell ref="K73:N73"/>
    <mergeCell ref="O73:Q73"/>
    <mergeCell ref="R73:S73"/>
    <mergeCell ref="T73:U73"/>
    <mergeCell ref="V73:W73"/>
    <mergeCell ref="X73:Y73"/>
    <mergeCell ref="C73:F73"/>
    <mergeCell ref="C74:F74"/>
    <mergeCell ref="G74:J74"/>
    <mergeCell ref="K74:N74"/>
    <mergeCell ref="O74:Q74"/>
    <mergeCell ref="R74:S74"/>
    <mergeCell ref="T74:U74"/>
    <mergeCell ref="T75:U75"/>
    <mergeCell ref="V75:W75"/>
    <mergeCell ref="V74:W74"/>
    <mergeCell ref="X74:Y74"/>
    <mergeCell ref="G75:J75"/>
    <mergeCell ref="K75:N75"/>
    <mergeCell ref="O75:Q75"/>
    <mergeCell ref="R75:S75"/>
    <mergeCell ref="X75:Y75"/>
    <mergeCell ref="V76:W76"/>
    <mergeCell ref="X76:Y76"/>
    <mergeCell ref="C75:F75"/>
    <mergeCell ref="C76:F76"/>
    <mergeCell ref="G76:J76"/>
    <mergeCell ref="K76:N76"/>
    <mergeCell ref="O76:Q76"/>
    <mergeCell ref="R76:S76"/>
    <mergeCell ref="T76:U76"/>
    <mergeCell ref="T81:U81"/>
    <mergeCell ref="V81:W81"/>
    <mergeCell ref="X81:Y81"/>
    <mergeCell ref="R80:S80"/>
    <mergeCell ref="T80:U80"/>
    <mergeCell ref="C81:F81"/>
    <mergeCell ref="G81:J81"/>
    <mergeCell ref="K81:N81"/>
    <mergeCell ref="O81:Q81"/>
    <mergeCell ref="R81:S81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T84:U84"/>
    <mergeCell ref="V84:W84"/>
    <mergeCell ref="V83:W83"/>
    <mergeCell ref="X83:Y83"/>
    <mergeCell ref="G84:J84"/>
    <mergeCell ref="K84:N84"/>
    <mergeCell ref="O84:Q84"/>
    <mergeCell ref="R84:S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T88:U88"/>
    <mergeCell ref="V88:W88"/>
    <mergeCell ref="V87:W87"/>
    <mergeCell ref="X87:Y87"/>
    <mergeCell ref="G88:J88"/>
    <mergeCell ref="K88:N88"/>
    <mergeCell ref="O88:Q88"/>
    <mergeCell ref="R88:S88"/>
    <mergeCell ref="X88:Y88"/>
    <mergeCell ref="V89:W89"/>
    <mergeCell ref="X89:Y89"/>
    <mergeCell ref="C88:F88"/>
    <mergeCell ref="C89:F89"/>
    <mergeCell ref="G89:J89"/>
    <mergeCell ref="K89:N89"/>
    <mergeCell ref="O89:Q89"/>
    <mergeCell ref="R89:S89"/>
    <mergeCell ref="T89:U89"/>
    <mergeCell ref="C77:F77"/>
    <mergeCell ref="C79:F79"/>
    <mergeCell ref="G79:J79"/>
    <mergeCell ref="C80:F80"/>
    <mergeCell ref="G80:J80"/>
    <mergeCell ref="K80:N80"/>
    <mergeCell ref="O80:Q80"/>
    <mergeCell ref="V77:W77"/>
    <mergeCell ref="V80:W80"/>
    <mergeCell ref="X80:Y80"/>
    <mergeCell ref="G77:J77"/>
    <mergeCell ref="K77:N77"/>
    <mergeCell ref="O77:Q77"/>
    <mergeCell ref="R77:S77"/>
    <mergeCell ref="T77:U77"/>
    <mergeCell ref="X77:Y77"/>
    <mergeCell ref="K79:W79"/>
    <mergeCell ref="O62:Q62"/>
    <mergeCell ref="R62:S62"/>
    <mergeCell ref="C59:F59"/>
    <mergeCell ref="C61:F61"/>
    <mergeCell ref="G61:J61"/>
    <mergeCell ref="K61:W61"/>
    <mergeCell ref="C62:F62"/>
    <mergeCell ref="G62:J62"/>
    <mergeCell ref="K62:N62"/>
    <mergeCell ref="G63:J63"/>
    <mergeCell ref="K63:N63"/>
    <mergeCell ref="O63:Q63"/>
    <mergeCell ref="R63:S63"/>
    <mergeCell ref="T63:U63"/>
    <mergeCell ref="V63:W63"/>
    <mergeCell ref="X63:Y63"/>
    <mergeCell ref="V64:W64"/>
    <mergeCell ref="X64:Y64"/>
    <mergeCell ref="C63:F63"/>
    <mergeCell ref="C64:F64"/>
    <mergeCell ref="G64:J64"/>
    <mergeCell ref="K64:N64"/>
    <mergeCell ref="O64:Q64"/>
    <mergeCell ref="R64:S64"/>
    <mergeCell ref="T64:U64"/>
    <mergeCell ref="V66:W66"/>
    <mergeCell ref="X66:Y66"/>
    <mergeCell ref="V92:W92"/>
    <mergeCell ref="X92:Y92"/>
    <mergeCell ref="G95:J95"/>
    <mergeCell ref="K95:N95"/>
    <mergeCell ref="O95:Q95"/>
    <mergeCell ref="R95:S95"/>
    <mergeCell ref="T95:U95"/>
    <mergeCell ref="V95:W95"/>
    <mergeCell ref="X95:Y95"/>
    <mergeCell ref="C95:F95"/>
    <mergeCell ref="C96:F96"/>
    <mergeCell ref="G96:J96"/>
    <mergeCell ref="K96:N96"/>
    <mergeCell ref="O96:Q96"/>
    <mergeCell ref="R96:S96"/>
    <mergeCell ref="T96:U96"/>
    <mergeCell ref="C97:F97"/>
    <mergeCell ref="C99:F99"/>
    <mergeCell ref="G99:J99"/>
    <mergeCell ref="C100:F100"/>
    <mergeCell ref="G100:J100"/>
    <mergeCell ref="K100:N100"/>
    <mergeCell ref="O100:Q100"/>
    <mergeCell ref="V97:W97"/>
    <mergeCell ref="V100:W100"/>
    <mergeCell ref="X100:Y100"/>
    <mergeCell ref="G97:J97"/>
    <mergeCell ref="K97:N97"/>
    <mergeCell ref="O97:Q97"/>
    <mergeCell ref="R97:S97"/>
    <mergeCell ref="T97:U97"/>
    <mergeCell ref="X97:Y97"/>
    <mergeCell ref="K99:W99"/>
    <mergeCell ref="T101:U101"/>
    <mergeCell ref="V101:W101"/>
    <mergeCell ref="X101:Y101"/>
    <mergeCell ref="R100:S100"/>
    <mergeCell ref="T100:U100"/>
    <mergeCell ref="C101:F101"/>
    <mergeCell ref="G101:J101"/>
    <mergeCell ref="K101:N101"/>
    <mergeCell ref="O101:Q101"/>
    <mergeCell ref="R101:S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7:U107"/>
    <mergeCell ref="V107:W107"/>
    <mergeCell ref="X107:Y107"/>
    <mergeCell ref="R106:S106"/>
    <mergeCell ref="T106:U106"/>
    <mergeCell ref="C107:F107"/>
    <mergeCell ref="G107:J107"/>
    <mergeCell ref="K107:N107"/>
    <mergeCell ref="O107:Q107"/>
    <mergeCell ref="R107:S107"/>
    <mergeCell ref="K106:N106"/>
    <mergeCell ref="O106:Q106"/>
    <mergeCell ref="V106:W106"/>
    <mergeCell ref="X106:Y106"/>
    <mergeCell ref="V103:W103"/>
    <mergeCell ref="X103:Y103"/>
    <mergeCell ref="C105:F105"/>
    <mergeCell ref="G105:J105"/>
    <mergeCell ref="K105:W105"/>
    <mergeCell ref="C106:F106"/>
    <mergeCell ref="G106:J106"/>
    <mergeCell ref="G108:J108"/>
    <mergeCell ref="K108:N108"/>
    <mergeCell ref="O108:Q108"/>
    <mergeCell ref="R108:S108"/>
    <mergeCell ref="T108:U108"/>
    <mergeCell ref="V108:W108"/>
    <mergeCell ref="X108:Y108"/>
    <mergeCell ref="C108:F108"/>
    <mergeCell ref="C109:F109"/>
    <mergeCell ref="G109:J109"/>
    <mergeCell ref="K109:N109"/>
    <mergeCell ref="O109:Q109"/>
    <mergeCell ref="R109:S109"/>
    <mergeCell ref="T109:U109"/>
    <mergeCell ref="T110:U110"/>
    <mergeCell ref="V110:W110"/>
    <mergeCell ref="V109:W109"/>
    <mergeCell ref="X109:Y109"/>
    <mergeCell ref="G110:J110"/>
    <mergeCell ref="K110:N110"/>
    <mergeCell ref="O110:Q110"/>
    <mergeCell ref="R110:S110"/>
    <mergeCell ref="X110:Y110"/>
    <mergeCell ref="V111:W111"/>
    <mergeCell ref="X111:Y111"/>
    <mergeCell ref="C110:F110"/>
    <mergeCell ref="C111:F111"/>
    <mergeCell ref="G111:J111"/>
    <mergeCell ref="K111:N111"/>
    <mergeCell ref="O111:Q111"/>
    <mergeCell ref="R111:S111"/>
    <mergeCell ref="T111:U111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R92:S92"/>
    <mergeCell ref="T92:U92"/>
    <mergeCell ref="C91:F91"/>
    <mergeCell ref="G91:J91"/>
    <mergeCell ref="K91:W91"/>
    <mergeCell ref="C92:F92"/>
    <mergeCell ref="G92:J92"/>
    <mergeCell ref="K92:N92"/>
    <mergeCell ref="O92:Q92"/>
    <mergeCell ref="G93:J93"/>
    <mergeCell ref="K93:N93"/>
    <mergeCell ref="O93:Q93"/>
    <mergeCell ref="R93:S93"/>
    <mergeCell ref="T93:U93"/>
    <mergeCell ref="V93:W93"/>
    <mergeCell ref="X93:Y93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V96:W96"/>
    <mergeCell ref="X96:Y96"/>
    <mergeCell ref="T117:U117"/>
    <mergeCell ref="V117:W117"/>
    <mergeCell ref="X117:Y117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K126:N126"/>
    <mergeCell ref="O126:Q126"/>
    <mergeCell ref="V126:W126"/>
    <mergeCell ref="X126:Y126"/>
    <mergeCell ref="V123:W123"/>
    <mergeCell ref="X123:Y123"/>
    <mergeCell ref="C125:F125"/>
    <mergeCell ref="G125:J125"/>
    <mergeCell ref="K125:W125"/>
    <mergeCell ref="C126:F126"/>
    <mergeCell ref="G126:J126"/>
    <mergeCell ref="T127:U127"/>
    <mergeCell ref="V127:W127"/>
    <mergeCell ref="X127:Y127"/>
    <mergeCell ref="R126:S126"/>
    <mergeCell ref="T126:U126"/>
    <mergeCell ref="C127:F127"/>
    <mergeCell ref="G127:J127"/>
    <mergeCell ref="K127:N127"/>
    <mergeCell ref="O127:Q127"/>
    <mergeCell ref="R127:S127"/>
    <mergeCell ref="G128:J128"/>
    <mergeCell ref="K128:N128"/>
    <mergeCell ref="O128:Q128"/>
    <mergeCell ref="R128:S128"/>
    <mergeCell ref="T128:U128"/>
    <mergeCell ref="V128:W128"/>
    <mergeCell ref="X128:Y128"/>
    <mergeCell ref="C128:F128"/>
    <mergeCell ref="C129:F129"/>
    <mergeCell ref="G129:J129"/>
    <mergeCell ref="K129:N129"/>
    <mergeCell ref="O129:Q129"/>
    <mergeCell ref="R129:S129"/>
    <mergeCell ref="T129:U129"/>
    <mergeCell ref="T130:U130"/>
    <mergeCell ref="V130:W130"/>
    <mergeCell ref="V129:W129"/>
    <mergeCell ref="X129:Y129"/>
    <mergeCell ref="G130:J130"/>
    <mergeCell ref="K130:N130"/>
    <mergeCell ref="O130:Q130"/>
    <mergeCell ref="R130:S130"/>
    <mergeCell ref="X130:Y130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G200:J200"/>
    <mergeCell ref="K200:N200"/>
    <mergeCell ref="O200:Q200"/>
    <mergeCell ref="R200:S200"/>
    <mergeCell ref="T200:U200"/>
    <mergeCell ref="V200:W200"/>
    <mergeCell ref="X200:Y200"/>
    <mergeCell ref="C200:F200"/>
    <mergeCell ref="C201:F201"/>
    <mergeCell ref="G201:J201"/>
    <mergeCell ref="K201:N201"/>
    <mergeCell ref="O201:Q201"/>
    <mergeCell ref="R201:S201"/>
    <mergeCell ref="T201:U201"/>
    <mergeCell ref="G202:J202"/>
    <mergeCell ref="K202:N202"/>
    <mergeCell ref="O202:Q202"/>
    <mergeCell ref="R202:S202"/>
    <mergeCell ref="T202:U202"/>
    <mergeCell ref="V202:W202"/>
    <mergeCell ref="X202:Y202"/>
    <mergeCell ref="V203:W203"/>
    <mergeCell ref="X203:Y203"/>
    <mergeCell ref="C202:F202"/>
    <mergeCell ref="C203:F203"/>
    <mergeCell ref="G203:J203"/>
    <mergeCell ref="K203:N203"/>
    <mergeCell ref="O203:Q203"/>
    <mergeCell ref="R203:S203"/>
    <mergeCell ref="T203:U203"/>
    <mergeCell ref="V205:W205"/>
    <mergeCell ref="X205:Y205"/>
    <mergeCell ref="T211:U211"/>
    <mergeCell ref="V211:W211"/>
    <mergeCell ref="X211:Y211"/>
    <mergeCell ref="O211:Q211"/>
    <mergeCell ref="R211:S211"/>
    <mergeCell ref="C208:F208"/>
    <mergeCell ref="C210:F210"/>
    <mergeCell ref="G210:J210"/>
    <mergeCell ref="K210:W210"/>
    <mergeCell ref="C211:F211"/>
    <mergeCell ref="G211:J211"/>
    <mergeCell ref="K211:N211"/>
    <mergeCell ref="G212:J212"/>
    <mergeCell ref="K212:N212"/>
    <mergeCell ref="O212:Q212"/>
    <mergeCell ref="R212:S212"/>
    <mergeCell ref="T212:U212"/>
    <mergeCell ref="V212:W212"/>
    <mergeCell ref="X212:Y212"/>
    <mergeCell ref="V213:W213"/>
    <mergeCell ref="X213:Y213"/>
    <mergeCell ref="C212:F212"/>
    <mergeCell ref="C213:F213"/>
    <mergeCell ref="G213:J213"/>
    <mergeCell ref="K213:N213"/>
    <mergeCell ref="O213:Q213"/>
    <mergeCell ref="R213:S213"/>
    <mergeCell ref="T213:U213"/>
    <mergeCell ref="V215:W215"/>
    <mergeCell ref="X215:Y215"/>
    <mergeCell ref="V222:W222"/>
    <mergeCell ref="X222:Y222"/>
    <mergeCell ref="G206:J206"/>
    <mergeCell ref="K206:N206"/>
    <mergeCell ref="O206:Q206"/>
    <mergeCell ref="R206:S206"/>
    <mergeCell ref="T206:U206"/>
    <mergeCell ref="V206:W206"/>
    <mergeCell ref="X206:Y206"/>
    <mergeCell ref="C206:F206"/>
    <mergeCell ref="C207:F207"/>
    <mergeCell ref="G207:J207"/>
    <mergeCell ref="K207:N207"/>
    <mergeCell ref="O207:Q207"/>
    <mergeCell ref="R207:S207"/>
    <mergeCell ref="T207:U207"/>
    <mergeCell ref="T208:U208"/>
    <mergeCell ref="V208:W208"/>
    <mergeCell ref="V207:W207"/>
    <mergeCell ref="X207:Y207"/>
    <mergeCell ref="G208:J208"/>
    <mergeCell ref="K208:N208"/>
    <mergeCell ref="O208:Q208"/>
    <mergeCell ref="R208:S208"/>
    <mergeCell ref="X208:Y208"/>
    <mergeCell ref="G214:J214"/>
    <mergeCell ref="K214:N214"/>
    <mergeCell ref="O214:Q214"/>
    <mergeCell ref="R214:S214"/>
    <mergeCell ref="T214:U214"/>
    <mergeCell ref="V214:W214"/>
    <mergeCell ref="X214:Y214"/>
    <mergeCell ref="C214:F214"/>
    <mergeCell ref="C215:F215"/>
    <mergeCell ref="G215:J215"/>
    <mergeCell ref="K215:N215"/>
    <mergeCell ref="O215:Q215"/>
    <mergeCell ref="R215:S215"/>
    <mergeCell ref="T215:U215"/>
    <mergeCell ref="G216:J216"/>
    <mergeCell ref="K216:N216"/>
    <mergeCell ref="O216:Q216"/>
    <mergeCell ref="R216:S216"/>
    <mergeCell ref="T216:U216"/>
    <mergeCell ref="V216:W216"/>
    <mergeCell ref="X216:Y216"/>
    <mergeCell ref="C216:F216"/>
    <mergeCell ref="C217:F217"/>
    <mergeCell ref="G217:J217"/>
    <mergeCell ref="K217:N217"/>
    <mergeCell ref="O217:Q217"/>
    <mergeCell ref="R217:S217"/>
    <mergeCell ref="T217:U217"/>
    <mergeCell ref="T218:U218"/>
    <mergeCell ref="V218:W218"/>
    <mergeCell ref="V217:W217"/>
    <mergeCell ref="X217:Y217"/>
    <mergeCell ref="G218:J218"/>
    <mergeCell ref="K218:N218"/>
    <mergeCell ref="O218:Q218"/>
    <mergeCell ref="R218:S218"/>
    <mergeCell ref="X218:Y218"/>
    <mergeCell ref="V219:W219"/>
    <mergeCell ref="X219:Y219"/>
    <mergeCell ref="C218:F218"/>
    <mergeCell ref="C219:F219"/>
    <mergeCell ref="G219:J219"/>
    <mergeCell ref="K219:N219"/>
    <mergeCell ref="O219:Q219"/>
    <mergeCell ref="R219:S219"/>
    <mergeCell ref="T219:U219"/>
    <mergeCell ref="G225:J225"/>
    <mergeCell ref="K225:N225"/>
    <mergeCell ref="O225:Q225"/>
    <mergeCell ref="R225:S225"/>
    <mergeCell ref="T225:U225"/>
    <mergeCell ref="V225:W225"/>
    <mergeCell ref="X225:Y225"/>
    <mergeCell ref="C225:F225"/>
    <mergeCell ref="C226:F226"/>
    <mergeCell ref="G226:J226"/>
    <mergeCell ref="K226:N226"/>
    <mergeCell ref="O226:Q226"/>
    <mergeCell ref="R226:S226"/>
    <mergeCell ref="T226:U226"/>
    <mergeCell ref="K244:N244"/>
    <mergeCell ref="O244:Q244"/>
    <mergeCell ref="V244:W244"/>
    <mergeCell ref="X244:Y244"/>
    <mergeCell ref="V241:W241"/>
    <mergeCell ref="X241:Y241"/>
    <mergeCell ref="C243:F243"/>
    <mergeCell ref="G243:J243"/>
    <mergeCell ref="K243:W243"/>
    <mergeCell ref="C244:F244"/>
    <mergeCell ref="G244:J244"/>
    <mergeCell ref="R222:S222"/>
    <mergeCell ref="T222:U222"/>
    <mergeCell ref="C221:F221"/>
    <mergeCell ref="G221:J221"/>
    <mergeCell ref="K221:W221"/>
    <mergeCell ref="C222:F222"/>
    <mergeCell ref="G222:J222"/>
    <mergeCell ref="K222:N222"/>
    <mergeCell ref="O222:Q222"/>
    <mergeCell ref="G223:J223"/>
    <mergeCell ref="K223:N223"/>
    <mergeCell ref="O223:Q223"/>
    <mergeCell ref="R223:S223"/>
    <mergeCell ref="T223:U223"/>
    <mergeCell ref="V223:W223"/>
    <mergeCell ref="X223:Y223"/>
    <mergeCell ref="V224:W224"/>
    <mergeCell ref="X224:Y224"/>
    <mergeCell ref="C223:F223"/>
    <mergeCell ref="C224:F224"/>
    <mergeCell ref="G224:J224"/>
    <mergeCell ref="K224:N224"/>
    <mergeCell ref="O224:Q224"/>
    <mergeCell ref="R224:S224"/>
    <mergeCell ref="T224:U224"/>
    <mergeCell ref="V226:W226"/>
    <mergeCell ref="X226:Y226"/>
    <mergeCell ref="V251:W251"/>
    <mergeCell ref="X251:Y251"/>
    <mergeCell ref="C227:F227"/>
    <mergeCell ref="C229:F229"/>
    <mergeCell ref="G229:J229"/>
    <mergeCell ref="C230:F230"/>
    <mergeCell ref="G230:J230"/>
    <mergeCell ref="K230:N230"/>
    <mergeCell ref="O230:Q230"/>
    <mergeCell ref="V227:W227"/>
    <mergeCell ref="V230:W230"/>
    <mergeCell ref="X230:Y230"/>
    <mergeCell ref="G227:J227"/>
    <mergeCell ref="K227:N227"/>
    <mergeCell ref="O227:Q227"/>
    <mergeCell ref="R227:S227"/>
    <mergeCell ref="T227:U227"/>
    <mergeCell ref="X227:Y227"/>
    <mergeCell ref="K229:W229"/>
    <mergeCell ref="G240:J240"/>
    <mergeCell ref="K240:N240"/>
    <mergeCell ref="O240:Q240"/>
    <mergeCell ref="R240:S240"/>
    <mergeCell ref="T240:U240"/>
    <mergeCell ref="V240:W240"/>
    <mergeCell ref="X240:Y240"/>
    <mergeCell ref="C240:F240"/>
    <mergeCell ref="C241:F241"/>
    <mergeCell ref="G241:J241"/>
    <mergeCell ref="K241:N241"/>
    <mergeCell ref="O241:Q241"/>
    <mergeCell ref="R241:S241"/>
    <mergeCell ref="T241:U241"/>
    <mergeCell ref="T245:U245"/>
    <mergeCell ref="V245:W245"/>
    <mergeCell ref="X245:Y245"/>
    <mergeCell ref="R244:S244"/>
    <mergeCell ref="T244:U244"/>
    <mergeCell ref="C245:F245"/>
    <mergeCell ref="G245:J245"/>
    <mergeCell ref="K245:N245"/>
    <mergeCell ref="O245:Q245"/>
    <mergeCell ref="R245:S245"/>
    <mergeCell ref="G246:J246"/>
    <mergeCell ref="K246:N246"/>
    <mergeCell ref="O246:Q246"/>
    <mergeCell ref="R246:S246"/>
    <mergeCell ref="T246:U246"/>
    <mergeCell ref="V246:W246"/>
    <mergeCell ref="X246:Y246"/>
    <mergeCell ref="C246:F246"/>
    <mergeCell ref="C247:F247"/>
    <mergeCell ref="G247:J247"/>
    <mergeCell ref="K247:N247"/>
    <mergeCell ref="O247:Q247"/>
    <mergeCell ref="R247:S247"/>
    <mergeCell ref="T247:U247"/>
    <mergeCell ref="T248:U248"/>
    <mergeCell ref="V248:W248"/>
    <mergeCell ref="V247:W247"/>
    <mergeCell ref="X247:Y247"/>
    <mergeCell ref="G248:J248"/>
    <mergeCell ref="K248:N248"/>
    <mergeCell ref="O248:Q248"/>
    <mergeCell ref="R248:S248"/>
    <mergeCell ref="X248:Y248"/>
    <mergeCell ref="V249:W249"/>
    <mergeCell ref="X249:Y249"/>
    <mergeCell ref="C248:F248"/>
    <mergeCell ref="C249:F249"/>
    <mergeCell ref="G249:J249"/>
    <mergeCell ref="K249:N249"/>
    <mergeCell ref="O249:Q249"/>
    <mergeCell ref="R249:S249"/>
    <mergeCell ref="T249:U249"/>
    <mergeCell ref="G250:J250"/>
    <mergeCell ref="K250:N250"/>
    <mergeCell ref="O250:Q250"/>
    <mergeCell ref="R250:S250"/>
    <mergeCell ref="T250:U250"/>
    <mergeCell ref="V250:W250"/>
    <mergeCell ref="X250:Y250"/>
    <mergeCell ref="C252:F252"/>
    <mergeCell ref="G252:J252"/>
    <mergeCell ref="K252:N252"/>
    <mergeCell ref="O252:Q252"/>
    <mergeCell ref="R252:S252"/>
    <mergeCell ref="T252:U252"/>
    <mergeCell ref="V252:W252"/>
    <mergeCell ref="X252:Y252"/>
    <mergeCell ref="C250:F250"/>
    <mergeCell ref="C251:F251"/>
    <mergeCell ref="G251:J251"/>
    <mergeCell ref="K251:N251"/>
    <mergeCell ref="O251:Q251"/>
    <mergeCell ref="R251:S251"/>
    <mergeCell ref="T251:U251"/>
    <mergeCell ref="O133:Q133"/>
    <mergeCell ref="R133:S133"/>
    <mergeCell ref="C130:F130"/>
    <mergeCell ref="C132:F132"/>
    <mergeCell ref="G132:J132"/>
    <mergeCell ref="K132:W132"/>
    <mergeCell ref="C133:F133"/>
    <mergeCell ref="G133:J133"/>
    <mergeCell ref="K133:N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V137:W137"/>
    <mergeCell ref="X137:Y137"/>
    <mergeCell ref="T143:U143"/>
    <mergeCell ref="V143:W143"/>
    <mergeCell ref="X143:Y143"/>
    <mergeCell ref="O143:Q143"/>
    <mergeCell ref="R143:S143"/>
    <mergeCell ref="C140:F140"/>
    <mergeCell ref="C142:F142"/>
    <mergeCell ref="G142:J142"/>
    <mergeCell ref="K142:W142"/>
    <mergeCell ref="C143:F143"/>
    <mergeCell ref="G143:J143"/>
    <mergeCell ref="K143:N143"/>
    <mergeCell ref="G144:J144"/>
    <mergeCell ref="K144:N144"/>
    <mergeCell ref="O144:Q144"/>
    <mergeCell ref="R144:S144"/>
    <mergeCell ref="T144:U144"/>
    <mergeCell ref="V144:W144"/>
    <mergeCell ref="X144:Y144"/>
    <mergeCell ref="V145:W145"/>
    <mergeCell ref="X145:Y145"/>
    <mergeCell ref="C144:F144"/>
    <mergeCell ref="C145:F145"/>
    <mergeCell ref="G145:J145"/>
    <mergeCell ref="K145:N145"/>
    <mergeCell ref="O145:Q145"/>
    <mergeCell ref="R145:S145"/>
    <mergeCell ref="T145:U145"/>
    <mergeCell ref="V147:W147"/>
    <mergeCell ref="X147:Y147"/>
    <mergeCell ref="T153:U153"/>
    <mergeCell ref="V153:W153"/>
    <mergeCell ref="X153:Y153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33:U133"/>
    <mergeCell ref="V133:W133"/>
    <mergeCell ref="X133:Y133"/>
    <mergeCell ref="G138:J138"/>
    <mergeCell ref="K138:N138"/>
    <mergeCell ref="O138:Q138"/>
    <mergeCell ref="R138:S138"/>
    <mergeCell ref="T138:U138"/>
    <mergeCell ref="V138:W138"/>
    <mergeCell ref="X138:Y138"/>
    <mergeCell ref="C138:F138"/>
    <mergeCell ref="C139:F139"/>
    <mergeCell ref="G139:J139"/>
    <mergeCell ref="K139:N139"/>
    <mergeCell ref="O139:Q139"/>
    <mergeCell ref="R139:S139"/>
    <mergeCell ref="T139:U139"/>
    <mergeCell ref="T140:U140"/>
    <mergeCell ref="V140:W140"/>
    <mergeCell ref="V139:W139"/>
    <mergeCell ref="X139:Y139"/>
    <mergeCell ref="G140:J140"/>
    <mergeCell ref="K140:N140"/>
    <mergeCell ref="O140:Q140"/>
    <mergeCell ref="R140:S140"/>
    <mergeCell ref="X140:Y140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G148:J148"/>
    <mergeCell ref="K148:N148"/>
    <mergeCell ref="O148:Q148"/>
    <mergeCell ref="R148:S148"/>
    <mergeCell ref="T148:U148"/>
    <mergeCell ref="V148:W148"/>
    <mergeCell ref="X148:Y148"/>
    <mergeCell ref="C148:F148"/>
    <mergeCell ref="C149:F149"/>
    <mergeCell ref="G149:J149"/>
    <mergeCell ref="K149:N149"/>
    <mergeCell ref="O149:Q149"/>
    <mergeCell ref="R149:S149"/>
    <mergeCell ref="T149:U149"/>
    <mergeCell ref="T150:U150"/>
    <mergeCell ref="V150:W150"/>
    <mergeCell ref="V149:W149"/>
    <mergeCell ref="X149:Y149"/>
    <mergeCell ref="G150:J150"/>
    <mergeCell ref="K150:N150"/>
    <mergeCell ref="O150:Q150"/>
    <mergeCell ref="R150:S150"/>
    <mergeCell ref="X150:Y150"/>
    <mergeCell ref="G156:J156"/>
    <mergeCell ref="K156:N156"/>
    <mergeCell ref="O156:Q156"/>
    <mergeCell ref="R156:S156"/>
    <mergeCell ref="T156:U156"/>
    <mergeCell ref="V156:W156"/>
    <mergeCell ref="X156:Y156"/>
    <mergeCell ref="C156:F156"/>
    <mergeCell ref="C157:F157"/>
    <mergeCell ref="G157:J157"/>
    <mergeCell ref="K157:N157"/>
    <mergeCell ref="O157:Q157"/>
    <mergeCell ref="R157:S157"/>
    <mergeCell ref="T157:U157"/>
    <mergeCell ref="T162:U162"/>
    <mergeCell ref="V162:W162"/>
    <mergeCell ref="X162:Y162"/>
    <mergeCell ref="R161:S161"/>
    <mergeCell ref="T161:U161"/>
    <mergeCell ref="C162:F162"/>
    <mergeCell ref="G162:J162"/>
    <mergeCell ref="K162:N162"/>
    <mergeCell ref="O162:Q162"/>
    <mergeCell ref="R162:S162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T165:U165"/>
    <mergeCell ref="V165:W165"/>
    <mergeCell ref="V164:W164"/>
    <mergeCell ref="X164:Y164"/>
    <mergeCell ref="G165:J165"/>
    <mergeCell ref="K165:N165"/>
    <mergeCell ref="O165:Q165"/>
    <mergeCell ref="R165:S165"/>
    <mergeCell ref="X165:Y165"/>
    <mergeCell ref="V166:W166"/>
    <mergeCell ref="X166:Y166"/>
    <mergeCell ref="C165:F165"/>
    <mergeCell ref="C166:F166"/>
    <mergeCell ref="G166:J166"/>
    <mergeCell ref="K166:N166"/>
    <mergeCell ref="O166:Q166"/>
    <mergeCell ref="R166:S166"/>
    <mergeCell ref="T166:U166"/>
    <mergeCell ref="G167:J167"/>
    <mergeCell ref="K167:N167"/>
    <mergeCell ref="O167:Q167"/>
    <mergeCell ref="R167:S167"/>
    <mergeCell ref="T167:U167"/>
    <mergeCell ref="V167:W167"/>
    <mergeCell ref="X167:Y167"/>
    <mergeCell ref="C167:F167"/>
    <mergeCell ref="C168:F168"/>
    <mergeCell ref="G168:J168"/>
    <mergeCell ref="K168:N168"/>
    <mergeCell ref="O168:Q168"/>
    <mergeCell ref="R168:S168"/>
    <mergeCell ref="T168:U168"/>
    <mergeCell ref="T169:U169"/>
    <mergeCell ref="V169:W169"/>
    <mergeCell ref="V168:W168"/>
    <mergeCell ref="X168:Y168"/>
    <mergeCell ref="G169:J169"/>
    <mergeCell ref="K169:N169"/>
    <mergeCell ref="O169:Q169"/>
    <mergeCell ref="R169:S169"/>
    <mergeCell ref="X169:Y169"/>
    <mergeCell ref="V170:W170"/>
    <mergeCell ref="X170:Y170"/>
    <mergeCell ref="C169:F169"/>
    <mergeCell ref="C170:F170"/>
    <mergeCell ref="G170:J170"/>
    <mergeCell ref="K170:N170"/>
    <mergeCell ref="O170:Q170"/>
    <mergeCell ref="R170:S170"/>
    <mergeCell ref="T170:U170"/>
    <mergeCell ref="C158:F158"/>
    <mergeCell ref="C160:F160"/>
    <mergeCell ref="G160:J160"/>
    <mergeCell ref="C161:F161"/>
    <mergeCell ref="G161:J161"/>
    <mergeCell ref="K161:N161"/>
    <mergeCell ref="O161:Q161"/>
    <mergeCell ref="V158:W158"/>
    <mergeCell ref="V161:W161"/>
    <mergeCell ref="X161:Y161"/>
    <mergeCell ref="G158:J158"/>
    <mergeCell ref="K158:N158"/>
    <mergeCell ref="O158:Q158"/>
    <mergeCell ref="R158:S158"/>
    <mergeCell ref="T158:U158"/>
    <mergeCell ref="X158:Y158"/>
    <mergeCell ref="K160:W160"/>
    <mergeCell ref="C171:F171"/>
    <mergeCell ref="C173:F173"/>
    <mergeCell ref="G173:J173"/>
    <mergeCell ref="C174:F174"/>
    <mergeCell ref="G174:J174"/>
    <mergeCell ref="K174:N174"/>
    <mergeCell ref="O174:Q174"/>
    <mergeCell ref="V171:W171"/>
    <mergeCell ref="V174:W174"/>
    <mergeCell ref="X174:Y174"/>
    <mergeCell ref="G171:J171"/>
    <mergeCell ref="K171:N171"/>
    <mergeCell ref="O171:Q171"/>
    <mergeCell ref="R171:S171"/>
    <mergeCell ref="T171:U171"/>
    <mergeCell ref="X171:Y171"/>
    <mergeCell ref="K173:W173"/>
    <mergeCell ref="T175:U175"/>
    <mergeCell ref="V175:W175"/>
    <mergeCell ref="X175:Y175"/>
    <mergeCell ref="R174:S174"/>
    <mergeCell ref="T174:U174"/>
    <mergeCell ref="C175:F175"/>
    <mergeCell ref="G175:J175"/>
    <mergeCell ref="K175:N175"/>
    <mergeCell ref="O175:Q175"/>
    <mergeCell ref="R175:S175"/>
    <mergeCell ref="G176:J176"/>
    <mergeCell ref="K176:N176"/>
    <mergeCell ref="O176:Q176"/>
    <mergeCell ref="R176:S176"/>
    <mergeCell ref="T176:U176"/>
    <mergeCell ref="V176:W176"/>
    <mergeCell ref="X176:Y176"/>
    <mergeCell ref="C176:F176"/>
    <mergeCell ref="C177:F177"/>
    <mergeCell ref="G177:J177"/>
    <mergeCell ref="K177:N177"/>
    <mergeCell ref="O177:Q177"/>
    <mergeCell ref="R177:S177"/>
    <mergeCell ref="T177:U177"/>
    <mergeCell ref="T178:U178"/>
    <mergeCell ref="V178:W178"/>
    <mergeCell ref="V177:W177"/>
    <mergeCell ref="X177:Y177"/>
    <mergeCell ref="G178:J178"/>
    <mergeCell ref="K178:N178"/>
    <mergeCell ref="O178:Q178"/>
    <mergeCell ref="R178:S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T184:U184"/>
    <mergeCell ref="V184:W184"/>
    <mergeCell ref="X184:Y184"/>
    <mergeCell ref="R183:S183"/>
    <mergeCell ref="T183:U183"/>
    <mergeCell ref="C184:F184"/>
    <mergeCell ref="G184:J184"/>
    <mergeCell ref="K184:N184"/>
    <mergeCell ref="O184:Q184"/>
    <mergeCell ref="R184:S184"/>
    <mergeCell ref="C195:F195"/>
    <mergeCell ref="C197:F197"/>
    <mergeCell ref="G197:J197"/>
    <mergeCell ref="C198:F198"/>
    <mergeCell ref="G198:J198"/>
    <mergeCell ref="K198:N198"/>
    <mergeCell ref="O198:Q198"/>
    <mergeCell ref="V195:W195"/>
    <mergeCell ref="V198:W198"/>
    <mergeCell ref="X198:Y198"/>
    <mergeCell ref="G195:J195"/>
    <mergeCell ref="K195:N195"/>
    <mergeCell ref="O195:Q195"/>
    <mergeCell ref="R195:S195"/>
    <mergeCell ref="T195:U195"/>
    <mergeCell ref="X195:Y195"/>
    <mergeCell ref="K197:W197"/>
    <mergeCell ref="O190:Q190"/>
    <mergeCell ref="R190:S190"/>
    <mergeCell ref="C187:F187"/>
    <mergeCell ref="C189:F189"/>
    <mergeCell ref="G189:J189"/>
    <mergeCell ref="K189:W189"/>
    <mergeCell ref="C190:F190"/>
    <mergeCell ref="G190:J190"/>
    <mergeCell ref="K190:N190"/>
    <mergeCell ref="G191:J191"/>
    <mergeCell ref="K191:N191"/>
    <mergeCell ref="O191:Q191"/>
    <mergeCell ref="R191:S191"/>
    <mergeCell ref="T191:U191"/>
    <mergeCell ref="V191:W191"/>
    <mergeCell ref="X191:Y191"/>
    <mergeCell ref="V192:W192"/>
    <mergeCell ref="X192:Y192"/>
    <mergeCell ref="C191:F191"/>
    <mergeCell ref="C192:F192"/>
    <mergeCell ref="G192:J192"/>
    <mergeCell ref="K192:N192"/>
    <mergeCell ref="O192:Q192"/>
    <mergeCell ref="R192:S192"/>
    <mergeCell ref="T192:U192"/>
    <mergeCell ref="V194:W194"/>
    <mergeCell ref="X194:Y194"/>
    <mergeCell ref="V201:W201"/>
    <mergeCell ref="X201:Y201"/>
    <mergeCell ref="C180:F180"/>
    <mergeCell ref="C182:F182"/>
    <mergeCell ref="G182:J182"/>
    <mergeCell ref="C183:F183"/>
    <mergeCell ref="G183:J183"/>
    <mergeCell ref="K183:N183"/>
    <mergeCell ref="O183:Q183"/>
    <mergeCell ref="V180:W180"/>
    <mergeCell ref="V183:W183"/>
    <mergeCell ref="X183:Y183"/>
    <mergeCell ref="G180:J180"/>
    <mergeCell ref="K180:N180"/>
    <mergeCell ref="O180:Q180"/>
    <mergeCell ref="R180:S180"/>
    <mergeCell ref="T180:U180"/>
    <mergeCell ref="X180:Y180"/>
    <mergeCell ref="K182:W182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T187:U187"/>
    <mergeCell ref="V187:W187"/>
    <mergeCell ref="V186:W186"/>
    <mergeCell ref="X186:Y186"/>
    <mergeCell ref="G187:J187"/>
    <mergeCell ref="K187:N187"/>
    <mergeCell ref="O187:Q187"/>
    <mergeCell ref="R187:S187"/>
    <mergeCell ref="X187:Y187"/>
    <mergeCell ref="O153:Q153"/>
    <mergeCell ref="R153:S153"/>
    <mergeCell ref="C150:F150"/>
    <mergeCell ref="C152:F152"/>
    <mergeCell ref="G152:J152"/>
    <mergeCell ref="K152:W152"/>
    <mergeCell ref="C153:F153"/>
    <mergeCell ref="G153:J153"/>
    <mergeCell ref="K153:N153"/>
    <mergeCell ref="G154:J154"/>
    <mergeCell ref="K154:N154"/>
    <mergeCell ref="O154:Q154"/>
    <mergeCell ref="R154:S154"/>
    <mergeCell ref="T154:U154"/>
    <mergeCell ref="V154:W154"/>
    <mergeCell ref="X154:Y154"/>
    <mergeCell ref="V155:W155"/>
    <mergeCell ref="X155:Y155"/>
    <mergeCell ref="C154:F154"/>
    <mergeCell ref="C155:F155"/>
    <mergeCell ref="G155:J155"/>
    <mergeCell ref="K155:N155"/>
    <mergeCell ref="O155:Q155"/>
    <mergeCell ref="R155:S155"/>
    <mergeCell ref="T155:U155"/>
    <mergeCell ref="V157:W157"/>
    <mergeCell ref="X157:Y157"/>
    <mergeCell ref="T190:U190"/>
    <mergeCell ref="V190:W190"/>
    <mergeCell ref="X190:Y190"/>
    <mergeCell ref="G193:J193"/>
    <mergeCell ref="K193:N193"/>
    <mergeCell ref="O193:Q193"/>
    <mergeCell ref="R193:S193"/>
    <mergeCell ref="T193:U193"/>
    <mergeCell ref="V193:W193"/>
    <mergeCell ref="X193:Y193"/>
    <mergeCell ref="C193:F193"/>
    <mergeCell ref="C194:F194"/>
    <mergeCell ref="G194:J194"/>
    <mergeCell ref="K194:N194"/>
    <mergeCell ref="O194:Q194"/>
    <mergeCell ref="R194:S194"/>
    <mergeCell ref="T194:U194"/>
    <mergeCell ref="T199:U199"/>
    <mergeCell ref="V199:W199"/>
    <mergeCell ref="X199:Y199"/>
    <mergeCell ref="R198:S198"/>
    <mergeCell ref="T198:U198"/>
    <mergeCell ref="C199:F199"/>
    <mergeCell ref="G199:J199"/>
    <mergeCell ref="K199:N199"/>
    <mergeCell ref="O199:Q199"/>
    <mergeCell ref="R199:S199"/>
    <mergeCell ref="G204:J204"/>
    <mergeCell ref="K204:N204"/>
    <mergeCell ref="O204:Q204"/>
    <mergeCell ref="R204:S204"/>
    <mergeCell ref="T204:U204"/>
    <mergeCell ref="V204:W204"/>
    <mergeCell ref="X204:Y204"/>
    <mergeCell ref="C204:F204"/>
    <mergeCell ref="C205:F205"/>
    <mergeCell ref="G205:J205"/>
    <mergeCell ref="K205:N205"/>
    <mergeCell ref="O205:Q205"/>
    <mergeCell ref="R205:S205"/>
    <mergeCell ref="T205:U205"/>
    <mergeCell ref="T231:U231"/>
    <mergeCell ref="V231:W231"/>
    <mergeCell ref="X231:Y231"/>
    <mergeCell ref="R230:S230"/>
    <mergeCell ref="T230:U230"/>
    <mergeCell ref="C231:F231"/>
    <mergeCell ref="G231:J231"/>
    <mergeCell ref="K231:N231"/>
    <mergeCell ref="O231:Q231"/>
    <mergeCell ref="R231:S231"/>
    <mergeCell ref="G232:J232"/>
    <mergeCell ref="K232:N232"/>
    <mergeCell ref="O232:Q232"/>
    <mergeCell ref="R232:S232"/>
    <mergeCell ref="T232:U232"/>
    <mergeCell ref="V232:W232"/>
    <mergeCell ref="X232:Y232"/>
    <mergeCell ref="C232:F232"/>
    <mergeCell ref="C233:F233"/>
    <mergeCell ref="G233:J233"/>
    <mergeCell ref="K233:N233"/>
    <mergeCell ref="O233:Q233"/>
    <mergeCell ref="R233:S233"/>
    <mergeCell ref="T233:U233"/>
    <mergeCell ref="T234:U234"/>
    <mergeCell ref="V234:W234"/>
    <mergeCell ref="V233:W233"/>
    <mergeCell ref="X233:Y233"/>
    <mergeCell ref="G234:J234"/>
    <mergeCell ref="K234:N234"/>
    <mergeCell ref="O234:Q234"/>
    <mergeCell ref="R234:S234"/>
    <mergeCell ref="X234:Y234"/>
    <mergeCell ref="V235:W235"/>
    <mergeCell ref="X235:Y235"/>
    <mergeCell ref="C234:F234"/>
    <mergeCell ref="C235:F235"/>
    <mergeCell ref="G235:J235"/>
    <mergeCell ref="K235:N235"/>
    <mergeCell ref="O235:Q235"/>
    <mergeCell ref="R235:S235"/>
    <mergeCell ref="T235:U235"/>
    <mergeCell ref="G236:J236"/>
    <mergeCell ref="K236:N236"/>
    <mergeCell ref="O236:Q236"/>
    <mergeCell ref="R236:S236"/>
    <mergeCell ref="T236:U236"/>
    <mergeCell ref="V236:W236"/>
    <mergeCell ref="X236:Y236"/>
    <mergeCell ref="C236:F236"/>
    <mergeCell ref="C237:F237"/>
    <mergeCell ref="G237:J237"/>
    <mergeCell ref="K237:N237"/>
    <mergeCell ref="O237:Q237"/>
    <mergeCell ref="R237:S237"/>
    <mergeCell ref="T237:U237"/>
    <mergeCell ref="T238:U238"/>
    <mergeCell ref="V238:W238"/>
    <mergeCell ref="V237:W237"/>
    <mergeCell ref="X237:Y237"/>
    <mergeCell ref="G238:J238"/>
    <mergeCell ref="K238:N238"/>
    <mergeCell ref="O238:Q238"/>
    <mergeCell ref="R238:S238"/>
    <mergeCell ref="X238:Y238"/>
    <mergeCell ref="V239:W239"/>
    <mergeCell ref="X239:Y239"/>
    <mergeCell ref="C238:F238"/>
    <mergeCell ref="C239:F239"/>
    <mergeCell ref="G239:J239"/>
    <mergeCell ref="K239:N239"/>
    <mergeCell ref="O239:Q239"/>
    <mergeCell ref="R239:S239"/>
    <mergeCell ref="T239:U239"/>
  </mergeCells>
  <drawing r:id="rId1"/>
</worksheet>
</file>